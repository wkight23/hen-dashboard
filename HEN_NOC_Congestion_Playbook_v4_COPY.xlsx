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untconsolidatedinc-my.sharepoint.com/personal/wkight_huntenergy_com/Documents/Congestion project/HEN Congestion Project/"/>
    </mc:Choice>
  </mc:AlternateContent>
  <xr:revisionPtr revIDLastSave="115" documentId="8_{781C296D-DD92-414E-A2CE-BB2BE20D8427}" xr6:coauthVersionLast="47" xr6:coauthVersionMax="47" xr10:uidLastSave="{BAED213C-7E39-433A-9D88-B7498D96935F}"/>
  <bookViews>
    <workbookView xWindow="-32355" yWindow="1095" windowWidth="21600" windowHeight="12645" tabRatio="500" activeTab="1" xr2:uid="{00000000-000D-0000-FFFF-FFFF00000000}"/>
  </bookViews>
  <sheets>
    <sheet name="⚠️ Disclaimer" sheetId="1" r:id="rId1"/>
    <sheet name="📋 Line Lookup" sheetId="2" r:id="rId2"/>
    <sheet name="🧮 MCC Calculator" sheetId="3" r:id="rId3"/>
    <sheet name="☀️ Summer" sheetId="4" r:id="rId4"/>
    <sheet name="🍂 Fall" sheetId="5" r:id="rId5"/>
    <sheet name="❄️ Winter" sheetId="6" r:id="rId6"/>
    <sheet name="🌱 Spring" sheetId="7" r:id="rId7"/>
    <sheet name="📊 Shift Factors" sheetId="8" r:id="rId8"/>
    <sheet name="⏰ Hour Guide" sheetId="9" r:id="rId9"/>
  </sheets>
  <definedNames>
    <definedName name="_xlnm._FilterDatabase" localSheetId="1" hidden="1">'📋 Line Lookup'!$A$3:$M$3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1" i="3" l="1"/>
  <c r="P61" i="3"/>
  <c r="M60" i="3"/>
  <c r="G59" i="3"/>
  <c r="P58" i="3"/>
  <c r="E57" i="3"/>
  <c r="I56" i="3"/>
  <c r="H56" i="3"/>
  <c r="F56" i="3"/>
  <c r="O55" i="3"/>
  <c r="I54" i="3"/>
  <c r="H54" i="3"/>
  <c r="E54" i="3"/>
  <c r="Q53" i="3"/>
  <c r="N52" i="3"/>
  <c r="M51" i="3"/>
  <c r="H51" i="3"/>
  <c r="G51" i="3"/>
  <c r="F51" i="3"/>
  <c r="M50" i="3"/>
  <c r="M49" i="3"/>
  <c r="I49" i="3"/>
  <c r="H49" i="3"/>
  <c r="G49" i="3"/>
  <c r="F49" i="3"/>
  <c r="N48" i="3"/>
  <c r="M47" i="3"/>
  <c r="G47" i="3"/>
  <c r="L46" i="3"/>
  <c r="K46" i="3"/>
  <c r="I46" i="3"/>
  <c r="H46" i="3"/>
  <c r="E46" i="3"/>
  <c r="P45" i="3"/>
  <c r="L44" i="3"/>
  <c r="K44" i="3"/>
  <c r="I43" i="3"/>
  <c r="F43" i="3"/>
  <c r="E42" i="3"/>
  <c r="H41" i="3"/>
  <c r="E41" i="3"/>
  <c r="L40" i="3"/>
  <c r="K40" i="3"/>
  <c r="E40" i="3"/>
  <c r="I39" i="3"/>
  <c r="H39" i="3"/>
  <c r="F39" i="3"/>
  <c r="E39" i="3"/>
  <c r="Q38" i="3"/>
  <c r="P38" i="3"/>
  <c r="O38" i="3"/>
  <c r="L38" i="3"/>
  <c r="K38" i="3"/>
  <c r="H38" i="3"/>
  <c r="E38" i="3"/>
  <c r="J37" i="3"/>
  <c r="Q36" i="3"/>
  <c r="P36" i="3"/>
  <c r="N36" i="3"/>
  <c r="M36" i="3"/>
  <c r="I36" i="3"/>
  <c r="G36" i="3"/>
  <c r="F36" i="3"/>
  <c r="O35" i="3"/>
  <c r="L35" i="3"/>
  <c r="K35" i="3"/>
  <c r="E35" i="3"/>
  <c r="J34" i="3"/>
  <c r="I33" i="3"/>
  <c r="H33" i="3"/>
  <c r="G33" i="3"/>
  <c r="F33" i="3"/>
  <c r="I32" i="3"/>
  <c r="H32" i="3"/>
  <c r="F32" i="3"/>
  <c r="E32" i="3"/>
  <c r="Q31" i="3"/>
  <c r="P31" i="3"/>
  <c r="L31" i="3"/>
  <c r="K31" i="3"/>
  <c r="E31" i="3"/>
  <c r="I30" i="3"/>
  <c r="H30" i="3"/>
  <c r="F30" i="3"/>
  <c r="Q29" i="3"/>
  <c r="L28" i="3"/>
  <c r="K28" i="3"/>
  <c r="H28" i="3"/>
  <c r="E28" i="3"/>
  <c r="E27" i="3"/>
  <c r="N26" i="3"/>
  <c r="M26" i="3"/>
  <c r="I26" i="3"/>
  <c r="H26" i="3"/>
  <c r="G26" i="3"/>
  <c r="F26" i="3"/>
  <c r="O25" i="3"/>
  <c r="I24" i="3"/>
  <c r="H24" i="3"/>
  <c r="G24" i="3"/>
  <c r="F24" i="3"/>
  <c r="J22" i="3"/>
  <c r="L21" i="3"/>
  <c r="K21" i="3"/>
  <c r="E21" i="3"/>
  <c r="Q20" i="3"/>
  <c r="P20" i="3"/>
  <c r="O20" i="3"/>
  <c r="M20" i="3"/>
  <c r="L20" i="3"/>
  <c r="K20" i="3"/>
  <c r="I20" i="3"/>
  <c r="H20" i="3"/>
  <c r="G20" i="3"/>
  <c r="F20" i="3"/>
  <c r="I19" i="3"/>
  <c r="H19" i="3"/>
  <c r="G19" i="3"/>
  <c r="F19" i="3"/>
  <c r="E19" i="3"/>
  <c r="M18" i="3"/>
  <c r="I18" i="3"/>
  <c r="H18" i="3"/>
  <c r="G18" i="3"/>
  <c r="F18" i="3"/>
  <c r="Q17" i="3"/>
  <c r="P17" i="3"/>
  <c r="O17" i="3"/>
  <c r="N17" i="3"/>
  <c r="L17" i="3"/>
  <c r="K17" i="3"/>
  <c r="E17" i="3"/>
  <c r="M16" i="3"/>
  <c r="I16" i="3"/>
  <c r="H16" i="3"/>
  <c r="G16" i="3"/>
  <c r="F16" i="3"/>
  <c r="M15" i="3"/>
  <c r="J15" i="3"/>
  <c r="G15" i="3"/>
  <c r="F15" i="3"/>
  <c r="Q14" i="3"/>
  <c r="P14" i="3"/>
  <c r="O14" i="3"/>
  <c r="N14" i="3"/>
  <c r="M14" i="3"/>
  <c r="L14" i="3"/>
  <c r="K14" i="3"/>
  <c r="J14" i="3"/>
  <c r="I14" i="3"/>
  <c r="H14" i="3"/>
  <c r="G14" i="3"/>
  <c r="F14" i="3"/>
  <c r="E14" i="3"/>
  <c r="Q13" i="3"/>
  <c r="P13" i="3"/>
  <c r="O13" i="3"/>
  <c r="N13" i="3"/>
  <c r="M13" i="3"/>
  <c r="L13" i="3"/>
  <c r="K13" i="3"/>
  <c r="J13" i="3"/>
  <c r="I13" i="3"/>
  <c r="H13" i="3"/>
  <c r="G13" i="3"/>
  <c r="F13" i="3"/>
  <c r="E13" i="3"/>
  <c r="M12" i="3"/>
  <c r="I12" i="3"/>
  <c r="H12" i="3"/>
  <c r="G12" i="3"/>
  <c r="F12" i="3"/>
  <c r="M11" i="3"/>
  <c r="J11" i="3"/>
  <c r="G11" i="3"/>
  <c r="F11" i="3"/>
  <c r="Q10" i="3"/>
  <c r="O10" i="3"/>
  <c r="N10" i="3"/>
  <c r="M10" i="3"/>
  <c r="L10" i="3"/>
  <c r="K10" i="3"/>
  <c r="J10" i="3"/>
  <c r="I10" i="3"/>
  <c r="H10" i="3"/>
  <c r="G10" i="3"/>
  <c r="F10" i="3"/>
  <c r="E10" i="3"/>
  <c r="L9" i="3"/>
  <c r="K9" i="3"/>
  <c r="J9" i="3"/>
  <c r="E9" i="3"/>
  <c r="M8" i="3"/>
  <c r="H8" i="3"/>
  <c r="G8" i="3"/>
  <c r="F8" i="3"/>
  <c r="E8" i="3"/>
  <c r="L7" i="3"/>
  <c r="K7" i="3"/>
  <c r="I7" i="3"/>
  <c r="H7" i="3"/>
  <c r="E7" i="3"/>
</calcChain>
</file>

<file path=xl/sharedStrings.xml><?xml version="1.0" encoding="utf-8"?>
<sst xmlns="http://schemas.openxmlformats.org/spreadsheetml/2006/main" count="3329" uniqueCount="913">
  <si>
    <t>HEN REAL-TIME CONGESTION PLAYBOOK — LINE LOOKUP</t>
  </si>
  <si>
    <t>🟢 Active = Detailed analysis  |  🟡 Watch = Observed, limited data  |  ⚫ Low Priority = Outage-only or insufficient shift factor  |  Updated: May 2026</t>
  </si>
  <si>
    <t>Line / Constraint</t>
  </si>
  <si>
    <t>Priority</t>
  </si>
  <si>
    <t>Season</t>
  </si>
  <si>
    <t>Peak HE
(Active Hrs)</t>
  </si>
  <si>
    <t>Gen Level Trigger
(What Drives It)</t>
  </si>
  <si>
    <t>Primary Node</t>
  </si>
  <si>
    <t>Shift
Factor</t>
  </si>
  <si>
    <t>MCC @
$500 SP</t>
  </si>
  <si>
    <t>MCC @
$1,000 SP</t>
  </si>
  <si>
    <t>MCC @
$2,000 SP</t>
  </si>
  <si>
    <t>Other Active
Nodes (SF)</t>
  </si>
  <si>
    <t>Hold Strategy /
Discharge Timing</t>
  </si>
  <si>
    <t>Operator Notes</t>
  </si>
  <si>
    <t>🟢  ACTIVE — Priority Lines (Detailed Analysis Completed)</t>
  </si>
  <si>
    <t>TWINBU-HARGROVE 138KV</t>
  </si>
  <si>
    <t>🟢 Active</t>
  </si>
  <si>
    <t>Summer and Winter</t>
  </si>
  <si>
    <t>HE5, HE6, HE4</t>
  </si>
  <si>
    <t>West wind sub 5GW is when we see it strongest. Since the start of RTC + B this number has been closer to 3GW.</t>
  </si>
  <si>
    <t>Russek (31.7%)</t>
  </si>
  <si>
    <t>Hamilton (+6.8%)
Fort Duncan (+4.4%)</t>
  </si>
  <si>
    <t>Willing to sit on high pricing HE20-24.</t>
  </si>
  <si>
    <t>Watch to see if there is a hard cut off at HE4. Switches over to LAKENASW-SAMATHIS</t>
  </si>
  <si>
    <t>LARDVNTH-LASCRUCE 138KV</t>
  </si>
  <si>
    <t>Big summer cong</t>
  </si>
  <si>
    <t>HE20, HE21, HE22</t>
  </si>
  <si>
    <t>Congestion should start popping up soon historically. See when south wind gen gets up to 2GW+ and coastal winds at 2GW+</t>
  </si>
  <si>
    <t>Holcomb (29.7%)</t>
  </si>
  <si>
    <t>Catarina (+17.9%)
Val Verde (-7.9%)
Hamilton (+6.2%)</t>
  </si>
  <si>
    <t>the absence of binding intervals for this exact line in the past 90 days is consistent with a conductor upgrade that began construction in 2024 on this specific segment (congestion may be dead)</t>
  </si>
  <si>
    <t>FORTMA-YELWJCKT 138KV</t>
  </si>
  <si>
    <t>all</t>
  </si>
  <si>
    <t>HE21, HE20, HE23</t>
  </si>
  <si>
    <t>Mostly seen overnight. Correlated when west dips below coastal wind generation. West wind gen generally has to be below 3GW</t>
  </si>
  <si>
    <t>Junction (50.0%)</t>
  </si>
  <si>
    <t>Russek (+3.2%)</t>
  </si>
  <si>
    <t xml:space="preserve">Marginal offer line </t>
  </si>
  <si>
    <t>TREADWEL-YELWJCKT 138KV</t>
  </si>
  <si>
    <t>Mostly summer</t>
  </si>
  <si>
    <t>HE17, HE18, HE19</t>
  </si>
  <si>
    <t>Junction (46.8%)</t>
  </si>
  <si>
    <t>—</t>
  </si>
  <si>
    <t>WESTEX</t>
  </si>
  <si>
    <t>All</t>
  </si>
  <si>
    <t>HE20, HE19, HE12</t>
  </si>
  <si>
    <t>Diboll (19.4%)</t>
  </si>
  <si>
    <t>Judkins (-71.8%)
Saddleback (-71.6%)
Russek (-66.0%)
Olney (-55.8%)</t>
  </si>
  <si>
    <t>LNGSW-PRLSW 345KV</t>
  </si>
  <si>
    <t>HE1, HE2, HE24</t>
  </si>
  <si>
    <t>This congestion is seen mostly overnight. Main driver on this line is when we see west wind gen reach above 10GW but haven't seen exposure since July 2026</t>
  </si>
  <si>
    <t>Judkins (21.3%)</t>
  </si>
  <si>
    <t>Saddleback (+20.4%)
Russek (+7.0%)</t>
  </si>
  <si>
    <t>E_PASP</t>
  </si>
  <si>
    <t>HE20, HE19, HE18</t>
  </si>
  <si>
    <t>This congestion is seem mostly overnight. Main driver on this line is when we see west wind gen reach above 10GW.</t>
  </si>
  <si>
    <t>Junction (4.0%)</t>
  </si>
  <si>
    <t>Val Verde (-19.6%)
Holcomb (-13.8%)
Catarina (-8.6%)</t>
  </si>
  <si>
    <t>PALOUSE-WOLFCAMP 138KV</t>
  </si>
  <si>
    <t>🟡 Watch</t>
  </si>
  <si>
    <t>HE18, HE17, HE16</t>
  </si>
  <si>
    <t>Russek (30.6%)</t>
  </si>
  <si>
    <t>When far west solar gen is ramping offline and South wind gen is ramping up, its common to see this congestion. Also need a decently high load from the west.</t>
  </si>
  <si>
    <t>NLARSW-PILONCIL 138KV</t>
  </si>
  <si>
    <t>HE24, HE1, HE2</t>
  </si>
  <si>
    <t>Catarina (26.0%)</t>
  </si>
  <si>
    <t>Fort Duncan (+12.0%)
Holcomb (-9.0%)
Hamilton (+8.6%)
Val Verde (-6.0%)</t>
  </si>
  <si>
    <t>MGSES-CATSW 345KV</t>
  </si>
  <si>
    <t>HE23, HE19, HE20</t>
  </si>
  <si>
    <t>Newer congestion (start Nov 2025). Mostly see this congestion with cooler weather in the west creating higher load levels (9gw+) and wind sub 8GW. West wind is the major driver of this congestion. Common to see with west wind sub 3GW.</t>
  </si>
  <si>
    <t>Judkins (30.0%)</t>
  </si>
  <si>
    <t>Saddleback (+27.0%)
Russek (+10.0%)
Cisco (-8.0%)
Olney (-7.0%)</t>
  </si>
  <si>
    <t>CRDSW-OLNEY 69KV</t>
  </si>
  <si>
    <t>spring and summer</t>
  </si>
  <si>
    <t>HE15-18</t>
  </si>
  <si>
    <t>See this on hot days where North load reaches up to 22GW+ of demand with high amounts of renewable online (use WESTEX flairing up as basis). Want 42+GW of solar + wind generation. 26MW flow rating, this limits the amount of MW we can put on this line</t>
  </si>
  <si>
    <t>Olney (78.7%)</t>
  </si>
  <si>
    <t>6630_A_LN outage impacts this line (per Enverus). Strong solar production, 90+ DFW Temps and good west wind production cause congestion here. Deplete before HE20</t>
  </si>
  <si>
    <t>STP-WAP 345KV</t>
  </si>
  <si>
    <t>Summer</t>
  </si>
  <si>
    <t>HE17, HE16, HE13</t>
  </si>
  <si>
    <t>Def has to do with houston load during the summer heat. When houston load reaches above 18GW+ we will see this flare up. Need STP nuke units online also… if one of them is offline, this weakens congestion.</t>
  </si>
  <si>
    <t>Mainland (9.6%)</t>
  </si>
  <si>
    <t>Val Verde (-11.3%)
Holcomb (-9.5%)
Catarina (-8.5%)
Fort Duncan (-7.0%)</t>
  </si>
  <si>
    <t>ESCONDID-GANSO 138KV</t>
  </si>
  <si>
    <t>HE8, HE9, HE1</t>
  </si>
  <si>
    <t>HE 10 saw the most shadow pricing but morning all around get best pricing. We see this congestion with low wind generation online, especially the west goin sub 3GW. Mostly completely correlated with west wind.</t>
  </si>
  <si>
    <t>Hamilton (40.4%) Fort Duncan (-26%)</t>
  </si>
  <si>
    <t>Fort Duncan (-26.1%)
Catarina (-9.4%)
Russek (+5.0%)
Holcomb (-4.4%)</t>
  </si>
  <si>
    <t>LNGSW-CONSW 345KV</t>
  </si>
  <si>
    <t>Pretty well associated with high west wind gen. Prob 10GW+. Never really get shadow pricing above $400 here but we still have 20%sf at west sites. Also couples well with West RT load being over 9GW overnight</t>
  </si>
  <si>
    <t>Saddleback (+20.0%)
Russek (+8.0%)</t>
  </si>
  <si>
    <t>YELWJCKT-FORTMA 138KV</t>
  </si>
  <si>
    <t>mostly spring/summer</t>
  </si>
  <si>
    <t>HE7, HE6, HE5</t>
  </si>
  <si>
    <t>Very high west winds. See it the most at 13GW+ of west wind gen in offpeak hours and 10+GW of west wind gen in on-peak hours</t>
  </si>
  <si>
    <t>Junction (-50%)</t>
  </si>
  <si>
    <t>Junction (-50.0%)</t>
  </si>
  <si>
    <t>Driven by West wind with demand in the east.</t>
  </si>
  <si>
    <t>Legend:</t>
  </si>
  <si>
    <t>🟢 Active = detailed MCC analysis completed</t>
  </si>
  <si>
    <t>🟡  WATCH — Lines to Monitor (Limited Data)</t>
  </si>
  <si>
    <t>ASHERTON-CATARINA 138KV</t>
  </si>
  <si>
    <t>HE13, HE12, HE14</t>
  </si>
  <si>
    <t>All conesiton seen in solar window. Driven by super low coastal and south wind gen during the solar window. Maybe look into this more, doesn't seem load driven</t>
  </si>
  <si>
    <t>Catarina (77.0%)</t>
  </si>
  <si>
    <t>Holcomb (+17.2%)
Fort Duncan (-11.6%)
Hamilton (-9.0%)</t>
  </si>
  <si>
    <t>MRVLY-ESTLD 69KV</t>
  </si>
  <si>
    <t>Not seasonal</t>
  </si>
  <si>
    <t>HE20, HE19, HE21</t>
  </si>
  <si>
    <t>Also seems to be when we see north load reach above 15GW. Especially if it's the load leader by a big chunk on the grid. Look at 01/11 and 01/12</t>
  </si>
  <si>
    <t>Cisco (17.3%)</t>
  </si>
  <si>
    <t>LPLMK-LPLNE 115KV</t>
  </si>
  <si>
    <t>HE21, HE22, HE20</t>
  </si>
  <si>
    <t>Don't have very strong shift factors out here in the west but active pretty often when west wind levels go below 5GW but it's actually strong panhandle winds that is the cause.</t>
  </si>
  <si>
    <t>Judkins (1.6%)</t>
  </si>
  <si>
    <t>Strong wind generation from panhandle during day time</t>
  </si>
  <si>
    <t>HONDOCK-DEVINESW 69KV</t>
  </si>
  <si>
    <t>Post RTC</t>
  </si>
  <si>
    <t>HE16, HE18, HE17</t>
  </si>
  <si>
    <t>Newer constraint that showed up in January. Was strongest in march and april. Skip this one too weak of shift factor. The drivers are strong west wind/solar and strong load in San Antonio.</t>
  </si>
  <si>
    <t>Fort Duncan (-6.4%)
Hamilton (-6.0%)
Catarina (-5.0%)</t>
  </si>
  <si>
    <t>I_FW_N</t>
  </si>
  <si>
    <t>fall</t>
  </si>
  <si>
    <t>Never really see enough shadow pricing to create strong MCC's here. I also don't see one single issue</t>
  </si>
  <si>
    <t>Judkins (15.7%)</t>
  </si>
  <si>
    <t>Saddleback (+13.7%)
Russek (+9.0%)
Olney (-6.0%)
Diboll (-4.0%)</t>
  </si>
  <si>
    <t>CARVER-TINSLEY 138KV</t>
  </si>
  <si>
    <t>HE21, HE20, HE22</t>
  </si>
  <si>
    <t>Most shadow pricing seen in HE11 and 12. See this with West wind at 10GW+ coupled with sub 2GW coastal winds</t>
  </si>
  <si>
    <t>Hamilton (32.3%)</t>
  </si>
  <si>
    <t>Fort Duncan (+21.0%)
Catarina (+9.0%)
Russek (-7.0%)</t>
  </si>
  <si>
    <t>BIG_FOOT-PLEASANT 138KV</t>
  </si>
  <si>
    <t>summer</t>
  </si>
  <si>
    <t>HE16, HE13, HE15</t>
  </si>
  <si>
    <t>Not that much action since RTC switchover. Too small of shift factors here…</t>
  </si>
  <si>
    <t>Fort Duncan (-9.8%)
Catarina (-9.2%)
Hamilton (-8.8%)
Holcomb (-5.3%)</t>
  </si>
  <si>
    <t>MASN-KATEMCY 69KV</t>
  </si>
  <si>
    <t>winter</t>
  </si>
  <si>
    <t>HE19, HE18, HE23</t>
  </si>
  <si>
    <t>Affiliated with low west wind and low north wind gen</t>
  </si>
  <si>
    <t>Junction (25.1%)</t>
  </si>
  <si>
    <t>KLNSW-HHSTH 138KV</t>
  </si>
  <si>
    <t>Spring</t>
  </si>
  <si>
    <t>HE22, HE23, HE2</t>
  </si>
  <si>
    <t>Newer congestion mostly seen in the spring. Esp march and april. Seen all hours but mostly during overnight period. We typically see this congestion when ERCOT wind gen reaches around 24GW+</t>
  </si>
  <si>
    <t>Russek (-5.0%)
Judkins (-4.8%)
Saddleback (-4.8%)
Cisco (-4.0%)</t>
  </si>
  <si>
    <t>SAMSW-VENSW 345KV</t>
  </si>
  <si>
    <t>Strongest during winter</t>
  </si>
  <si>
    <t>HE11, HE12, HE13</t>
  </si>
  <si>
    <t>This was strongest in December and Jan, seen in May too. Think its around all seasons. Really no idea what the cause is, look into more,</t>
  </si>
  <si>
    <t>Diboll (5.3%)</t>
  </si>
  <si>
    <t>Holcomb (-5.6%)
Val Verde (-5.6%)
Catarina (-5.3%)
Olney (+5.0%)</t>
  </si>
  <si>
    <t>MADDUX-TREADWEL 138KV</t>
  </si>
  <si>
    <t>Summer and fall</t>
  </si>
  <si>
    <t>HE17, HE18, HE16</t>
  </si>
  <si>
    <t>Haven't seen much post RTC+B should be interesting to look out for. Can't find much of a driver here.</t>
  </si>
  <si>
    <t>Junction (39.3%)</t>
  </si>
  <si>
    <t>PRLSW-CONSW 345KV</t>
  </si>
  <si>
    <t>Winter and Spring</t>
  </si>
  <si>
    <t>HE2, HE4, HE1</t>
  </si>
  <si>
    <t>Believe we see this congestion with more mild temps, lower loads, and over 8GW+ of west wind generation</t>
  </si>
  <si>
    <t>Judkins (29.0%)</t>
  </si>
  <si>
    <t>Saddleback (+23.4%)
Russek (+11.1%)
Cisco (-5.2%)
Olney (-5.0%)</t>
  </si>
  <si>
    <t>MAXWELL-HAMILTON 138KV</t>
  </si>
  <si>
    <t>HE2, HE24, HE1</t>
  </si>
  <si>
    <t>Will be interesting to see if this still plays in Post RTC + B. Associated with 13+GW of west wind generation.</t>
  </si>
  <si>
    <t>Hamilton (23.0%)</t>
  </si>
  <si>
    <t>Fort Duncan (+14.3%)
Russek (-5.0%)
Catarina (+5.0%)</t>
  </si>
  <si>
    <t>Haven't seen this one since october 2025. May just be summer congestion. Associated with 10GW+ of west wind gen</t>
  </si>
  <si>
    <t>Judkins (21.5%)</t>
  </si>
  <si>
    <t>SONR-ATSO 69KV</t>
  </si>
  <si>
    <t>HE1, HE3, HE2</t>
  </si>
  <si>
    <t>Don't really know what the driver is here. It could be west load surpassing 9GW+ overnight but not sure how common that is. The west wind levels are not very reliable but could be attributed with Low west winds OR high west winds</t>
  </si>
  <si>
    <t>Russek (5.0%)</t>
  </si>
  <si>
    <t>LAKENASW-SAMATHIS 69KV</t>
  </si>
  <si>
    <t>HE1, HE4, HE24</t>
  </si>
  <si>
    <t>See this with low West wind Generation. Seen with sub 6GW of wind generation but gets most active in sub 3GW of west wind generation. Low wind in the Far West is requisite for this to bind.</t>
  </si>
  <si>
    <t>Russek (7.3%)</t>
  </si>
  <si>
    <t>Localized wind and solar production creates tight gradients that have been making this common in lower wind conditions</t>
  </si>
  <si>
    <t>BRUNI 138KV</t>
  </si>
  <si>
    <t>All, stronger in winter</t>
  </si>
  <si>
    <t>HE23, HE22, HE21</t>
  </si>
  <si>
    <t>Our shift factors are only like 1% so can't really include this one. Maybe associated with 1.5GW+ of south wind gen</t>
  </si>
  <si>
    <t>Catarina (1.0%)</t>
  </si>
  <si>
    <t>CRTRVLLE-HILGR 138KV</t>
  </si>
  <si>
    <t>Fall and winter</t>
  </si>
  <si>
    <t>HE1, HE2, HE23</t>
  </si>
  <si>
    <t>Never rlly seen MCC's over $50 for our west sites so not much to report on here. Driver here is 10GW+ of west wind gen</t>
  </si>
  <si>
    <t>Judkins (4.0%)</t>
  </si>
  <si>
    <t>Saddleback (+4.0%)</t>
  </si>
  <si>
    <t>ARGYL-LWSVH 138KV</t>
  </si>
  <si>
    <t>Mostly winter</t>
  </si>
  <si>
    <t>Mostly seen in all hour during the winter season. See it when wind patterns reach above 12GW. I would look into this one some more.</t>
  </si>
  <si>
    <t>Diboll (1.5%)</t>
  </si>
  <si>
    <t>NORTMC-CROSSOVE 138KV</t>
  </si>
  <si>
    <t>HE19, HE17, HE16</t>
  </si>
  <si>
    <t xml:space="preserve">Above 9.5GW+ of west load. Mostly see it also when west temps reached above 91 degrees which is correlated with load patterns. </t>
  </si>
  <si>
    <t>Russek (34.2%)</t>
  </si>
  <si>
    <t>Hamilton (+9.2%)
Fort Duncan (+5.7%)</t>
  </si>
  <si>
    <t xml:space="preserve">If this is the only binding line on Russek, discharge before solar falls offline. We'll take $100+ MCC here. </t>
  </si>
  <si>
    <t>High WTX demand (9.6GW is a good threshold) with low WTX wind gives highest shadow pricing</t>
  </si>
  <si>
    <t>LA_PALMA-HAINE_DR 138KV</t>
  </si>
  <si>
    <t>HE17, HE16, HE18</t>
  </si>
  <si>
    <t>See this congestion with 2GW+ of south wind Gen and 2.5GW+ of coastal wind gen</t>
  </si>
  <si>
    <t>Val Verde (1.9%)</t>
  </si>
  <si>
    <t>GN-PZ 138KV</t>
  </si>
  <si>
    <t>HE16, HE14, HE17</t>
  </si>
  <si>
    <t>High coastal wind generation, specifically around 2GW+</t>
  </si>
  <si>
    <t>Mainland (18.3%)</t>
  </si>
  <si>
    <t>PILONCIL-NLARSW 138KV</t>
  </si>
  <si>
    <t>HE16, HE15, HE17</t>
  </si>
  <si>
    <t>see this with really low coastal and south winds. Like sub 1GW for each.</t>
  </si>
  <si>
    <t>Holcomb (23.8%)</t>
  </si>
  <si>
    <t>Catarina (-26.5%)
Fort Duncan (-13.0%)
Hamilton (-9.4%)
Val Verde (+7.6%)</t>
  </si>
  <si>
    <t>MV_BURNS-MV_HBRG4 138KV</t>
  </si>
  <si>
    <t>April</t>
  </si>
  <si>
    <t>Common to see when you get 3GW+ of coastal wind levels. Saw most shadow pricing in april of 2026. having 2+GW of south wind stacked also makes the line bind</t>
  </si>
  <si>
    <t>Val Verde (15.3%)</t>
  </si>
  <si>
    <t>CATARINA-ASHERTON 138KV</t>
  </si>
  <si>
    <t>HE22, HE21, HE20</t>
  </si>
  <si>
    <t>Have not seen much shadow pricing from here in the past year. We get this congestion with 2.5GW of coastal wind and 2.1GW+ of south wind gen</t>
  </si>
  <si>
    <t>Hamilton (7.2%)</t>
  </si>
  <si>
    <t>Catarina (-73.2%)
Holcomb (-9.0%)
Val Verde (-5.1%)</t>
  </si>
  <si>
    <t>BR-HOC 138KV</t>
  </si>
  <si>
    <t>spring (march)</t>
  </si>
  <si>
    <t>Common to see with 2.7GW+ of coastal wind gen and 2.5GW of south wind gen. can see in all hours of the day but most common in HE10-18.</t>
  </si>
  <si>
    <t>Mainland (9.5%)</t>
  </si>
  <si>
    <t>BOW 69KV</t>
  </si>
  <si>
    <t>Mar-May 2026</t>
  </si>
  <si>
    <t>HE9, HE8, HE20</t>
  </si>
  <si>
    <t>Pretty new congestion here. Seen march, april and may of 26. We see this congestion with high system-wide winds. Around like 20GW+ of wind gen</t>
  </si>
  <si>
    <t>Olney (-5.0%)</t>
  </si>
  <si>
    <t>MCCAMY</t>
  </si>
  <si>
    <t>Delete, don’t see any shadow pricing</t>
  </si>
  <si>
    <t>CMNSW-CMNTP 138KV</t>
  </si>
  <si>
    <t>HE17, HE19, HE18</t>
  </si>
  <si>
    <t>Get this congestion when coastal winds surpass 2.7GW+ of coastal gen. When system wide wind gen reaches to 20GW+ is where we get the best shadow pricing. Don't get much pricing from here though with low shift factors. Far West Solar is a significant source-side driver. When coupled with wind and high Dallas temps, this will continue to bind.</t>
  </si>
  <si>
    <t>Cisco (5.0%)</t>
  </si>
  <si>
    <t>UVALDE-READING 138KV</t>
  </si>
  <si>
    <t>HE19, HE18, HE17</t>
  </si>
  <si>
    <t>Haven't seen post RTC. No good positive shift factor but hamilton has strong negative. Can't find a specific driver but 19GW+ of south load could be a driver with low south wind</t>
  </si>
  <si>
    <t>Hamilton (-20.5%)
Fort Duncan (-8.9%)
Catarina (-8.1%)</t>
  </si>
  <si>
    <t>WOLFCAMP-SANTARIT 138KV</t>
  </si>
  <si>
    <t>Outage/Event</t>
  </si>
  <si>
    <t>HE17, HE16, HE19</t>
  </si>
  <si>
    <t>No specific driver I can find here. Russek has a 32% shift factor here. High temps also tend to flair up this line. Only saw for 2 days in April</t>
  </si>
  <si>
    <t>LHSES-PRCSW 138KV</t>
  </si>
  <si>
    <t>Fall of 2025</t>
  </si>
  <si>
    <t>HE20, HE19, HE17</t>
  </si>
  <si>
    <t>Skip this one. Only -5% shift factor here at North sites</t>
  </si>
  <si>
    <t>Diboll (-5.0%)</t>
  </si>
  <si>
    <t>LAREDO-DEL_MAR 138KV</t>
  </si>
  <si>
    <t>Summer 2025</t>
  </si>
  <si>
    <t>HE23, HE24, HE22</t>
  </si>
  <si>
    <t>Will be interesting to see if we see this congestion this summer. Not very strong pricing here though. Skip</t>
  </si>
  <si>
    <t>Holcomb (6.0%)</t>
  </si>
  <si>
    <t>COLETO CREEK-VICTORIA</t>
  </si>
  <si>
    <t>Spring 26</t>
  </si>
  <si>
    <t>HE20, HE22, HE21</t>
  </si>
  <si>
    <t>Strong hours are HE20-1 but seen across all hours. This seems to be all coastal wind generated. When we get over 2.4GW of coastal wind gen, theres a good change we'll see this. Strongest shadow pricing has come from coastal wind at 3GW+</t>
  </si>
  <si>
    <t>Val Verde (-9.2%)</t>
  </si>
  <si>
    <t>FMRVL-RYSSW 345KV</t>
  </si>
  <si>
    <t>HE17, HE16, HE15</t>
  </si>
  <si>
    <t>Dibol only has a 6% shift factor here but seen shadow pricing in the thousands. Only saw decent shadow pricing for one day. Delete</t>
  </si>
  <si>
    <t>Diboll (5.2%)</t>
  </si>
  <si>
    <t>Olney (-3.4%)</t>
  </si>
  <si>
    <t>⚫  LOW PRIORITY — Skip or Outage-Only</t>
  </si>
  <si>
    <t>LOBO-LARDVNTH 138KV</t>
  </si>
  <si>
    <t>Feb and March</t>
  </si>
  <si>
    <t>HE22, HE19, HE21</t>
  </si>
  <si>
    <t>Newer Congestion (First seen Feb 2026). Can be seen at all times throughout the day but mostly 17-3. Correlates with 2.5GW+ of south wind or 2.8GW+ of coastal wind. Maybe was also outage driven bc we haven't seen it since march.</t>
  </si>
  <si>
    <t>Holcomb (32.4%)</t>
  </si>
  <si>
    <t>Catarina (+21.8%)
Hamilton (+7.0%)
Fort Duncan (+7.0%)
Val Verde (-7.0%)</t>
  </si>
  <si>
    <t>BCESW-SNDSW 345KV</t>
  </si>
  <si>
    <t>Fall and Spring</t>
  </si>
  <si>
    <t>Not much activity here during summer and winter. Also see this one when south wind is sub 1GW. Consistent factor also seems to be days of strong south load (15GW+) during the solar window</t>
  </si>
  <si>
    <t>Holcomb (11.0%)</t>
  </si>
  <si>
    <t>Val Verde (+11.0%)
Catarina (+10.0%)
Fort Duncan (+9.0%)
Diboll (-7.4%)</t>
  </si>
  <si>
    <t>LASCRUCE-MILO 138KV</t>
  </si>
  <si>
    <t>Winter</t>
  </si>
  <si>
    <t>south AND coastal wind gen at 2GW+</t>
  </si>
  <si>
    <t>Holcomb (28.0%)</t>
  </si>
  <si>
    <t>Catarina (+17.3%)
Fort Duncan (+9.6%)
Val Verde (-8.0%)
Hamilton (+7.0%)</t>
  </si>
  <si>
    <t>AEP Texas's North Laredo Transmission Improvements Project factsheet explicitly lists the Milo – Las Cruces transmission line as one of the segments being rebuilt </t>
  </si>
  <si>
    <t>STP-ELMCREEK 345KV</t>
  </si>
  <si>
    <t>⚫ Low Priority</t>
  </si>
  <si>
    <t>Nov, Dec, Jan</t>
  </si>
  <si>
    <t>HE22, HE21, HE23</t>
  </si>
  <si>
    <t>Mostly correlated with low renewable generation on the grid. See the congestion overnight with low (sub 8gw) of wind gen on the grid</t>
  </si>
  <si>
    <t>Catarina (8.0%)</t>
  </si>
  <si>
    <t>Mainland (-9.0%)
Holcomb (+7.9%)
Fort Duncan (+7.5%)
Hamilton (+6.7%)</t>
  </si>
  <si>
    <t>VEALMOOR-KOCHTAP 138KV</t>
  </si>
  <si>
    <t>All but gone now</t>
  </si>
  <si>
    <t>Haven't seen at all in RTC. Look a pic on the right. This congestion was sooo prevelent before RTC, generating just below $300,000 (in $/mwh) in shadow pricing from May-Nov 2025 and now is completely gone</t>
  </si>
  <si>
    <t>Judkins (5.2%)</t>
  </si>
  <si>
    <t>Saddleback (+4.5%)</t>
  </si>
  <si>
    <t>SNDHT-WLFSW 138KV</t>
  </si>
  <si>
    <t>HE4, HE2, HE1</t>
  </si>
  <si>
    <t>Nothing in RTC so far. Saw strong in July which could've made this congestion outage driven</t>
  </si>
  <si>
    <t>Saddleback (7.0%)</t>
  </si>
  <si>
    <t>Judkins (-44.9%)</t>
  </si>
  <si>
    <t>WCRYSTS-CARIZOS 69KV</t>
  </si>
  <si>
    <t>x</t>
  </si>
  <si>
    <t>HE7, HE8, HE5</t>
  </si>
  <si>
    <t>This is just completely outage drive. Saw for 5 days in Feb. No other driver seen</t>
  </si>
  <si>
    <t>Fort Duncan (19.0%)</t>
  </si>
  <si>
    <t>Hamilton (+12.6%)
Catarina (-5.0%)</t>
  </si>
  <si>
    <t>JEWET-BBSES 345KV</t>
  </si>
  <si>
    <t>HE21, HE20, HE8</t>
  </si>
  <si>
    <t>Also outage driven. Saw for 8 days in Feb at random times. Strong in HE 9 though</t>
  </si>
  <si>
    <t>Diboll (12.9%)</t>
  </si>
  <si>
    <t>Mainland (-10.0%)
Olney (+8.3%)
Cisco (+6.8%)
Holcomb (-5.0%)</t>
  </si>
  <si>
    <t>ABNTHWST 138KV</t>
  </si>
  <si>
    <t>Saw this one hit hard during Fern. Associated with high north load during the down ramp. The days we saw this congestion reach shadow prices of $200 $/mwh, North load was getting up to 24GW</t>
  </si>
  <si>
    <t>Cisco (13.9%)</t>
  </si>
  <si>
    <t>KLNSW-STAGE 138KV</t>
  </si>
  <si>
    <t>March 17-31</t>
  </si>
  <si>
    <t>HE22, HE23, HE24</t>
  </si>
  <si>
    <t>Outage driven here. Not strong enough  shift factors to to make a huge difference</t>
  </si>
  <si>
    <t>Val Verde (2.1%)</t>
  </si>
  <si>
    <t>Russek (-4.0%)
Judkins (-4.0%)
Saddleback (-4.0%)
Cisco (-3.0%)</t>
  </si>
  <si>
    <t>HAMILTON-MAVERICK 138KV</t>
  </si>
  <si>
    <t>HE17, HE20, HE21</t>
  </si>
  <si>
    <t>I think this is associated with high west winds and low south wind but not rlly sure. May have to dig deeper here</t>
  </si>
  <si>
    <t>Fort Duncan (19.6%)</t>
  </si>
  <si>
    <t>Hamilton (-56.0%)
Catarina (+7.2%)</t>
  </si>
  <si>
    <t>HCKSW 1KV</t>
  </si>
  <si>
    <t>April 9th-14th</t>
  </si>
  <si>
    <t>HE19, HE21, HE20</t>
  </si>
  <si>
    <t>Completely outage driven. Super weak shift factor here at dibol for 1%</t>
  </si>
  <si>
    <t>Judkins (-4.0%)
Saddleback (-4.0%)
Russek (-3.5%)
Olney (-3.0%)</t>
  </si>
  <si>
    <t>PILONCIL-CATARINA 138KV</t>
  </si>
  <si>
    <t>HE22, HE20, HE21</t>
  </si>
  <si>
    <t>Only seen congestion once here on May 27th 2025. really has to just be outage driven considering we only saw it for 1 day</t>
  </si>
  <si>
    <t>Catarina (33.7%)</t>
  </si>
  <si>
    <t>Holcomb (-9.8%)</t>
  </si>
  <si>
    <t>W_BATESV-UVALDE 138KV</t>
  </si>
  <si>
    <t>HE22, HE4, HE21</t>
  </si>
  <si>
    <t>Ft Duncan and Hamilton have 20% shift factors here w/ cat on the neg side. Could be related to low north wind output, don't think it has anything to do with load and low NTX wind gen is the only consistent factor seen.</t>
  </si>
  <si>
    <t>Fort Duncan (30.0%)</t>
  </si>
  <si>
    <t>Hamilton (+27.5%)
Catarina (-15.0%)
Holcomb (-6.0%)</t>
  </si>
  <si>
    <t>VALEXP</t>
  </si>
  <si>
    <t>HE4, HE3, HE5</t>
  </si>
  <si>
    <t>Not relly sure what the driver is here. This is a massive base case line in STX going from Edinburg to around Port Aransas. Only thing that correlates is low North wind gen and sub 5GW of WTX gen but that doesn't make much sense considering the location</t>
  </si>
  <si>
    <t>Val Verde (-98.2%)</t>
  </si>
  <si>
    <t>MDO-PHR 345KV</t>
  </si>
  <si>
    <t>HE16, HE14, HE15</t>
  </si>
  <si>
    <t>See a little show up in May in april of this year. Was common last summer. Not sure exactly what the driving factor is here. Houston load could be the driving factor here, tends to pop up when we reach 20GW of load in houston.</t>
  </si>
  <si>
    <t>Val Verde (-10.0%)
Holcomb (-9.6%)
Catarina (-9.1%)
Fort Duncan (-7.7%)</t>
  </si>
  <si>
    <t>FTSSW-VENSW 345KV</t>
  </si>
  <si>
    <t>Seems like a pretty big Pre-RTC congestion commoner. Only seen once post RTC swithover on Jan 5th. Pic on right. Strong driver was days of high loads, esp the north reaching to 24 +GW of load.</t>
  </si>
  <si>
    <t>Holcomb (-6.0%)
Val Verde (-6.0%)
Catarina (-5.7%)
Fort Duncan (-4.7%)</t>
  </si>
  <si>
    <t>NVKSW-ANARN 69KV</t>
  </si>
  <si>
    <t>Strongest during solar window. No direct season associated, pretty sporadic. Only driver I can find is when north wind levels reach to 1.8GW+, see this one mostly in shoulder seasons when system wide wind levels get to 17GW+. High North winds and panhandle winds are mostly the answer to this congestion</t>
  </si>
  <si>
    <t>Olney (47.6%)</t>
  </si>
  <si>
    <t>OZONA-MIDW 69KV</t>
  </si>
  <si>
    <t>Sporadic</t>
  </si>
  <si>
    <t>HE16, HE15, HE13</t>
  </si>
  <si>
    <t>My theory is low wtx load paired with low wtx wind gen but could also be outage driven in the area bc these price pops are sporadic.</t>
  </si>
  <si>
    <t>Russek (6.0%)</t>
  </si>
  <si>
    <t>TMPSW-TMPCR 345KV</t>
  </si>
  <si>
    <t>HE21, HE20, HE4</t>
  </si>
  <si>
    <t>This is completely outage drive. Only seen one day and we don't have much of a shift factor. Delete this</t>
  </si>
  <si>
    <t>Diboll (8.2%)</t>
  </si>
  <si>
    <t>Holcomb (-10.0%)
Val Verde (-9.9%)
Catarina (-9.3%)
Olney (+8.1%)</t>
  </si>
  <si>
    <t>ZEN-THW 345KV</t>
  </si>
  <si>
    <t>HE15, HE14, HE16</t>
  </si>
  <si>
    <t>Don't get much shadow pricing here. Delete this</t>
  </si>
  <si>
    <t>Mainland (11.1%)</t>
  </si>
  <si>
    <t>Cisco (-84.0%)
Diboll (-10.0%)
Olney (-8.0%)
Judkins (-7.7%)</t>
  </si>
  <si>
    <t>DOW-OAS 345KV</t>
  </si>
  <si>
    <t>HE14, HE16, HE15</t>
  </si>
  <si>
    <t>This could be outage driven based on its spiradic history. See the highest shadow pricing with coastal wind levels at 2.5GW+</t>
  </si>
  <si>
    <t>Mainland (17.6%)</t>
  </si>
  <si>
    <t>Val Verde (-8.2%)
Holcomb (-7.7%)
Catarina (-7.2%)
Fort Duncan (-6.0%)</t>
  </si>
  <si>
    <t>MAVERICK-HAMILTON 138KV</t>
  </si>
  <si>
    <t>HE2, HE4, HE3</t>
  </si>
  <si>
    <t>Outage driven line. Saw in Jan</t>
  </si>
  <si>
    <t>Hamilton (40.6%)</t>
  </si>
  <si>
    <t>Fort Duncan (-25.8%)
Catarina (-8.9%)
Russek (+5.3%)</t>
  </si>
  <si>
    <t>SNDSW-AUSTRO 345KV</t>
  </si>
  <si>
    <t>HE16, HE17, HE15</t>
  </si>
  <si>
    <t>Our south assets have strong shift factors here at around 15%. Shadow pricing has been very weak only reaching $237 max which is when stx load has reached 17GW.</t>
  </si>
  <si>
    <t>Holcomb (15.0%)</t>
  </si>
  <si>
    <t>Val Verde (+14.8%)
Catarina (+14.1%)
Fort Duncan (+11.4%)
Olney (-9.9%)</t>
  </si>
  <si>
    <t>GANSO-MAVERICK 138KV</t>
  </si>
  <si>
    <t>HE4, HE6, HE5</t>
  </si>
  <si>
    <t>Pretty common to see when you get 2GW+ of wind gen in the coast. Prob has to do more with outages here during the time seen really only one day in january</t>
  </si>
  <si>
    <t>Hamilton (40.2%)</t>
  </si>
  <si>
    <t>Catarina (-9.2%)
Holcomb (-4.4%)</t>
  </si>
  <si>
    <t>RIOHONDO-MV_BURNS 138KV</t>
  </si>
  <si>
    <t>July and Aug 2025</t>
  </si>
  <si>
    <t>HE18, HE17, HE19</t>
  </si>
  <si>
    <t>Haven't seen at all in RTC. Should be interesting to see, this is correlated with high south loads, specifically 19GW+ with over 2GW+ of stx wind gen and 2.5GW+ of coastal gen</t>
  </si>
  <si>
    <t>Val Verde (19.8%)</t>
  </si>
  <si>
    <t>MADDUX-SAPOWER 138KV</t>
  </si>
  <si>
    <t>HE7, HE8, HE6</t>
  </si>
  <si>
    <t>Skip this one. Super low shadow price (not even above $150)</t>
  </si>
  <si>
    <t>Junction (-33.6%)
Hamilton (-11.7%)
Fort Duncan (-7.4%)
Russek (-7.0%)</t>
  </si>
  <si>
    <t>MILLER-HENLY 138KV</t>
  </si>
  <si>
    <t>Skip this one. Completely outage driven in sept of 25</t>
  </si>
  <si>
    <t>Junction (-11.0%)</t>
  </si>
  <si>
    <t>ODESA-ODNTH 138KV</t>
  </si>
  <si>
    <t>HE23, HE5, HE22</t>
  </si>
  <si>
    <t>See this in the winter with 10GW+ of wtx wind gen</t>
  </si>
  <si>
    <t>Saddleback (8.0%)</t>
  </si>
  <si>
    <t>CPSES-MBDSW 345KV</t>
  </si>
  <si>
    <t>outage</t>
  </si>
  <si>
    <t>HE20, HE1, HE7</t>
  </si>
  <si>
    <t>Mostly outage driven here. Saw in nov and 2 days in april. Also need like 20GW+ of wind gen online. Prob common to see when WESTEX is flaring up</t>
  </si>
  <si>
    <t>Russek (-6.0%)
Judkins (-5.9%)
Saddleback (-5.8%)
Junction (-4.5%)</t>
  </si>
  <si>
    <t>SMITHERS-BI 345KV</t>
  </si>
  <si>
    <t>delete too low shift factor. Was all outage driven in may 25</t>
  </si>
  <si>
    <t>KENDAL-BERGHE 345KV</t>
  </si>
  <si>
    <t>HE14, HE13, HE12</t>
  </si>
  <si>
    <t>See this with like 13GW+ of west wind. Haven't seen a shadow price above $150 so don't look too deep into. Can see in all hours but most common in HE11-17</t>
  </si>
  <si>
    <t>Val Verde (10.3%)</t>
  </si>
  <si>
    <t>Junction (-15.7%)
Saddleback (-14.5%)
Russek (-13.8%)
Judkins (-13.2%)</t>
  </si>
  <si>
    <t>DOWNIES-MOORE 138KV</t>
  </si>
  <si>
    <t>Summer 25</t>
  </si>
  <si>
    <t>Fort Duncan (-18.2%)
Hamilton (-15.5%)
Catarina (-6.0%)</t>
  </si>
  <si>
    <t>TNFXTAIL-FLAT_TOP 138KV</t>
  </si>
  <si>
    <t>Fall 25</t>
  </si>
  <si>
    <t>Good shift factors on WTX sites but never get much shadow pricing. See this when WTX wind goes sub 5GW only get like max $350 of shadow pricing</t>
  </si>
  <si>
    <t>Saddleback (31.3%)</t>
  </si>
  <si>
    <t>EXCSW-RNKSW 345KV</t>
  </si>
  <si>
    <t>HE20, HE21, HE19</t>
  </si>
  <si>
    <t>Theory here is also high wind generation throughout ERCOT. Too low of shift factors</t>
  </si>
  <si>
    <t>Diboll (4.4%)</t>
  </si>
  <si>
    <t>Olney (-6.8%)
Cisco (-6.6%)
Judkins (-6.4%)
Saddleback (-6.2%)</t>
  </si>
  <si>
    <t>SAMSW-FVLSW 345KV</t>
  </si>
  <si>
    <t>HE12, HE11, HE10</t>
  </si>
  <si>
    <t>Skip shadow pricing doesn't go above $160</t>
  </si>
  <si>
    <t>Olney (5.5%)</t>
  </si>
  <si>
    <t>Val Verde (-5.9%)
Holcomb (-5.8%)
Catarina (-5.6%)
Fort Duncan (-4.8%)</t>
  </si>
  <si>
    <t>TNP_ONE-TOKSW 345KV</t>
  </si>
  <si>
    <t>HE15, HE14, HE13</t>
  </si>
  <si>
    <t>Skip shadow pricing doesn't exceed 250</t>
  </si>
  <si>
    <t>Mainland (6.6%)</t>
  </si>
  <si>
    <t>Junction (-7.5%)
Diboll (+6.4%)
Catarina (-6.4%)
Holcomb (-6.2%)</t>
  </si>
  <si>
    <t>GT-BG 138KV</t>
  </si>
  <si>
    <t>All in April 2026</t>
  </si>
  <si>
    <t>HE17, HE16, HE12</t>
  </si>
  <si>
    <t>Probably all outage driven for the month of april. Best shadow pricing seen at 2.6GW+ of coastal wind gen.</t>
  </si>
  <si>
    <t>Mainland (14.3%)</t>
  </si>
  <si>
    <t>I_KALO</t>
  </si>
  <si>
    <t>HE13, HE15, HE14</t>
  </si>
  <si>
    <t>My theory here is low load days with very high renewables online.</t>
  </si>
  <si>
    <t>Val Verde (25.7%)</t>
  </si>
  <si>
    <t>Holcomb (+6.5%)</t>
  </si>
  <si>
    <t>BLESSING 345KV</t>
  </si>
  <si>
    <t>HE22, HE9, HE7</t>
  </si>
  <si>
    <t>This one I can't really figure out the driver for. Shadow pricing can get high here but we don't have super strong shift factors. I deleted the previous Blessings 345 line due to low shift factors but was a very common congestion to see</t>
  </si>
  <si>
    <t>Val Verde (6.3%)</t>
  </si>
  <si>
    <t>Holcomb (+4.1%)</t>
  </si>
  <si>
    <t>SANA 138KV</t>
  </si>
  <si>
    <t>HE6, HE5, HE4</t>
  </si>
  <si>
    <t>Will only see this one in one day increments, never see two days in a row. Haven't seen any of this post RTC but could just be driven from other transmission outages in the area. When it pops up there is sub 1GW of North wind. Have very low sf here though</t>
  </si>
  <si>
    <t>Cisco (4.0%)</t>
  </si>
  <si>
    <t>ELGISW-BUTLER 138KV</t>
  </si>
  <si>
    <t>HE18, HE16, HE17</t>
  </si>
  <si>
    <t>all outage driven</t>
  </si>
  <si>
    <t>Val Verde (4.6%)</t>
  </si>
  <si>
    <t>Holcomb (+4.5%)
Catarina (+4.2%)</t>
  </si>
  <si>
    <t>ESTLD-MRVLY 69KV</t>
  </si>
  <si>
    <t>HE13, HE8, HE9</t>
  </si>
  <si>
    <t>I have absolutely no idea what is causing this congestion. Only seen real shadow pricing for 3 days the past year. Skip this.</t>
  </si>
  <si>
    <t>Olney (5.3%)</t>
  </si>
  <si>
    <t>Cisco (-4.5%)</t>
  </si>
  <si>
    <t>HOLMAN-CISTERN 345KV</t>
  </si>
  <si>
    <t>HE21, HE22, HE4</t>
  </si>
  <si>
    <t>Junction (6.5%)</t>
  </si>
  <si>
    <t>Mainland (-7.1%)
Fort Duncan (+5.6%)
Catarina (+5.6%)
Hamilton (+5.4%)</t>
  </si>
  <si>
    <t>YELWJCKT-HEXT 69KV</t>
  </si>
  <si>
    <t>HE14, HE17, HE12</t>
  </si>
  <si>
    <t>Low shift factors here. Only 5% at junction. Only saw 2 days of real shadow pricing in Jan of 2026. Skip this one</t>
  </si>
  <si>
    <t>Junction (5.9%)</t>
  </si>
  <si>
    <t>CRD 345KV</t>
  </si>
  <si>
    <t>HE22, HE2, HE1</t>
  </si>
  <si>
    <t>all outage driven and russek has the strongest shift factor of 6%.</t>
  </si>
  <si>
    <t>Cisco (6.0%)</t>
  </si>
  <si>
    <t>BRACKETT-ESCONDID 138KV</t>
  </si>
  <si>
    <t>Haven't seen any congestion here since July 2025</t>
  </si>
  <si>
    <t>Catarina (10.1%)</t>
  </si>
  <si>
    <t>Hamilton (-32.3%)
Russek (-4.2%)
Holcomb (+4.1%)</t>
  </si>
  <si>
    <t>BANDER-MASOCR 138KV</t>
  </si>
  <si>
    <t>HE16, HE19, HE18</t>
  </si>
  <si>
    <t>all outage driven.</t>
  </si>
  <si>
    <t>Junction (-8.0%)</t>
  </si>
  <si>
    <t>CNRSW 345KV</t>
  </si>
  <si>
    <t>We see this pricing with extremely low NTX wind generation, especially when it hits that 200mw number. Only seen max shadow price of $250 so not much of an impact.</t>
  </si>
  <si>
    <t>Diboll (-14.1%)</t>
  </si>
  <si>
    <t>EINSTEIN-CRTRVLLE 138KV</t>
  </si>
  <si>
    <t>HE8, HE7, HE9</t>
  </si>
  <si>
    <t>Delete this one. Too small shift factor and only $40 mcc for Judkins at max shadow pricing</t>
  </si>
  <si>
    <t>Judkins (4.8%)</t>
  </si>
  <si>
    <t>Saddleback (+3.8%)</t>
  </si>
  <si>
    <t>PEARSALL-POTEETS 69KV</t>
  </si>
  <si>
    <t>🆕 New</t>
  </si>
  <si>
    <t>Poteet (39.1%)</t>
  </si>
  <si>
    <t>None significant (&lt;2%)</t>
  </si>
  <si>
    <t>BCPSW-AZLES 138KV</t>
  </si>
  <si>
    <t>HE18, HE19, HE17</t>
  </si>
  <si>
    <t>Mineral Wells (22.5%)</t>
  </si>
  <si>
    <t>Olney (+4.0%)
Cisco (+3.0%)</t>
  </si>
  <si>
    <t>⚡  HEN Real-Time Congestion Playbook</t>
  </si>
  <si>
    <t>Hunt Energy Network  |  For Internal NOC Use Only</t>
  </si>
  <si>
    <t>IMPORTANT — Please read before using this tool</t>
  </si>
  <si>
    <t>📋  Purpose</t>
  </si>
  <si>
    <t>This playbook is a reference tool to help operators quickly assess congestion as it happens in real time. Use it to build situational awareness around constraints you're seeing on screen — not as a hard trigger or automated signal.</t>
  </si>
  <si>
    <t>⚠️  Data Limitations</t>
  </si>
  <si>
    <t>The shadow pricing, shift factors, and MCC estimates here are derived from a specific historical study period (Apr 2025 – May 2026). Values shown are approximations based on the best information available at the time of analysis.
Nodes, shift factors, and priority designations should be treated as starting points — not hard numbers.</t>
  </si>
  <si>
    <t>🔄  ERCOT Topology Changes Constantly</t>
  </si>
  <si>
    <t>Transmission outages, new generation interconnections, seasonal load shifts, and topology changes mean the grid you're operating today may respond differently than the grid used in this analysis. A constraint that behaved predictably in the past may not behave the same way every night.
ALWAYS reference current outage conditions before acting. TOPOLOGY IS CONSTANTLY CHANGING.</t>
  </si>
  <si>
    <t>📝  Keep the Notes Column Current</t>
  </si>
  <si>
    <t>This tool is only as good as the information we put into it. If you observe new patterns, updated line behavior, or anything that doesn't match what you're seeing — add a note. The Operator Notes column is the most valuable part of this sheet over time.</t>
  </si>
  <si>
    <t>✅  How to Use</t>
  </si>
  <si>
    <t>1.  See congestion on a line → find it in the Line Lookup tab
2.  Check Priority: 🟢 Active  |  🟡 Watch  |  ⚫ Low Priority
3.  Review Peak HE, Driver, and Primary Node &amp; SF
4.  Jump to seasonal tab (Summer/Fall/Winter/Spring) for that season's top lines
5.  Use the MCC Calculator tab to compute your site's real-time MCC from a shadow price
6.  Add observations to Operator Notes for the next shift</t>
  </si>
  <si>
    <t>Hunt Energy Network  |  RT Congestion Playbook  |  For internal operator use only</t>
  </si>
  <si>
    <t>REAL-TIME MCC CALCULATOR — Shadow Price × Shift Factor = MCC at Node</t>
  </si>
  <si>
    <t>Enter the real-time shadow price ($/MWh) you see for a line → MCC at each site auto-calculates = SF × Shadow Price</t>
  </si>
  <si>
    <t>ENTER SHADOW PRICE ($/MWh):</t>
  </si>
  <si>
    <t>← Change this value to see real-time MCC impact at each site</t>
  </si>
  <si>
    <t>Prim. Node</t>
  </si>
  <si>
    <t>SF (%)</t>
  </si>
  <si>
    <t>Russek</t>
  </si>
  <si>
    <t>Catarina</t>
  </si>
  <si>
    <t>Holcomb</t>
  </si>
  <si>
    <t>Hamilton</t>
  </si>
  <si>
    <t>Fort Duncan</t>
  </si>
  <si>
    <t>Junction</t>
  </si>
  <si>
    <t>Judkins</t>
  </si>
  <si>
    <t>Saddleback</t>
  </si>
  <si>
    <t>Val Verde</t>
  </si>
  <si>
    <t>Mainland</t>
  </si>
  <si>
    <t>Cisco</t>
  </si>
  <si>
    <t>Diboll</t>
  </si>
  <si>
    <t>Olney</t>
  </si>
  <si>
    <t>Hamilton (40.4%)</t>
  </si>
  <si>
    <t>NOTE: Negative MCC values (in red) indicate the node BENEFITS from the constraint — congestion lowers prices at that node. Positive MCC = congestion increases prices at your node.</t>
  </si>
  <si>
    <t>SUMMER CONGESTION PLAYBOOK  |  Jun – Aug</t>
  </si>
  <si>
    <t>Summer peak load. South/coastal wind gen key driver. Monitor west load 9GW+.</t>
  </si>
  <si>
    <t>Peak HE
(Best Hours)</t>
  </si>
  <si>
    <t>Driver / Trigger</t>
  </si>
  <si>
    <t>MCC @
$1000 SP</t>
  </si>
  <si>
    <t>Discharge
Guidance</t>
  </si>
  <si>
    <t>Hold
Strategy?</t>
  </si>
  <si>
    <t>Key Gen Level
Threshold</t>
  </si>
  <si>
    <t>Operator
Notes</t>
  </si>
  <si>
    <t>🟢  ACTIVE LINES — Priority Targets for Jun – Aug</t>
  </si>
  <si>
    <t>West wind sub 5GW is when we see it strongest. Possible to see around sub 8Gw</t>
  </si>
  <si>
    <t>Discharge at SP ≥ $300-500/MWh
(MCC $158+ at primary node)</t>
  </si>
  <si>
    <t>Yes — hold for higher pricing overnight</t>
  </si>
  <si>
    <t>Discharge at SP ≥ $300-500/MWh
(MCC $149+ at primary node)</t>
  </si>
  <si>
    <t>Monitor trend; discharge on confirmed ramp</t>
  </si>
  <si>
    <t>Discharge at SP ≥ $300-500/MWh
(MCC $250+ at primary node)</t>
  </si>
  <si>
    <t>Haven't seen any of this congestion since the RTC switch. Seen when west load reached 9GW+, which we've seen in May but didn't see any congestion. This one may be gone but worth diving into more</t>
  </si>
  <si>
    <t>Discharge at SP ≥ $300-500/MWh
(MCC $234+ at primary node)</t>
  </si>
  <si>
    <t>See flare up in days of high renewable generation. Seen in all hours of the day but most common during solar ramps or when west Gen reaches above 15GW overnight.</t>
  </si>
  <si>
    <t>Discharge at SP ≥ $500-800/MWh
(MCC $97+ at node)</t>
  </si>
  <si>
    <t>Discharge at SP ≥ $300-500/MWh
(MCC $107+ at primary node)</t>
  </si>
  <si>
    <t>This sends Val Verde negative. Strongest during down ramps best theory for congestion here is when south load reaches 18GW+.</t>
  </si>
  <si>
    <t>Only strong pricing (SP&gt;$2000) creates meaningful MCC</t>
  </si>
  <si>
    <t>This is a newer congestion… started in Nov 2025. see this congestion with coastal wind gen at 2.5GW+. Same with south wind</t>
  </si>
  <si>
    <t>Discharge at SP ≥ $300-500/MWh
(MCC $130+ at primary node)</t>
  </si>
  <si>
    <t>Newer congestion (start Nov 2025). Mostly see this congestion with cooler weather in the west creating higher load levels (9gw+) and wind sub 8GW. This ould be the inbalance of demand and wind gen. look into that also maybe coastal wind gen</t>
  </si>
  <si>
    <t>Discharge at SP ≥ $300-500/MWh
(MCC $150+ at primary node)</t>
  </si>
  <si>
    <t>HE 10 saw the most shadow pricing but morning all around get best pricing. We see this congestion with low wind generation online, especially the west goin sub 3GW paired with WTX seeing a 9GW+ load</t>
  </si>
  <si>
    <t>Discharge at SP ≥ $300-500/MWh
(MCC $202+ at primary node)</t>
  </si>
  <si>
    <t>Discharge at SP ≥ $500-800/MWh
(MCC $55+ at node)</t>
  </si>
  <si>
    <t>Discharge at SP ≥ $300-500/MWh
(MCC $106+ at primary node)</t>
  </si>
  <si>
    <t>Check MCC Calculator</t>
  </si>
  <si>
    <t>🟡  WATCH LINES — Monitor Closely in Jun – Aug</t>
  </si>
  <si>
    <t>Discharge at SP ≥ $300-500/MWh
(MCC $385+ at primary node)</t>
  </si>
  <si>
    <t>Discharge on sight</t>
  </si>
  <si>
    <t>Discharge at SP ≥ $500-800/MWh
(MCC $87+ at node)</t>
  </si>
  <si>
    <t>Def has to do with houston load during the summer heat. When houston load reaches above 18GW+ we will see this flare up.</t>
  </si>
  <si>
    <t>Discharge at SP ≥ $1000+/MWh
(Need strong pricing for good MCC)</t>
  </si>
  <si>
    <t>Strongest pricing seen in the summer (hot). When RT West load gets up to 9GW we will see this, especially when solar is ramping offline.</t>
  </si>
  <si>
    <t>Discharge at SP ≥ $300-500/MWh
(MCC $153+ at primary node)</t>
  </si>
  <si>
    <t>See this on hot days where North load reaches up to 22GW+.</t>
  </si>
  <si>
    <t>Discharge at SP ≥ $300-500/MWh
(MCC $393+ at primary node)</t>
  </si>
  <si>
    <t>Newer constraint that showed up in January. Was strongest in march and april. Skip this one too weak of shift factor</t>
  </si>
  <si>
    <t>Discharge at SP ≥ $500-800/MWh
(MCC $78+ at node)</t>
  </si>
  <si>
    <t>Discharge at SP ≥ $300-500/MWh
(MCC $162+ at primary node)</t>
  </si>
  <si>
    <t>Discharge at SP ≥ $300-500/MWh
(MCC $196+ at primary node)</t>
  </si>
  <si>
    <t>Discharge at SP ≥ $300-500/MWh
(MCC $115+ at primary node)</t>
  </si>
  <si>
    <t>Discharge at SP ≥ $300-500/MWh
(MCC $119+ at primary node)</t>
  </si>
  <si>
    <t>Get this congestion when coastal winds surpass 2.7GW+ of coastal gen. When system wide wind gen reaches to 20GW+ is where we get the best shadow pricing. Don't get much pricing from here though with low shift factors</t>
  </si>
  <si>
    <t>Discharge at SP ≥ $300-500/MWh
(MCC $159+ at primary node)</t>
  </si>
  <si>
    <t>FALL CONGESTION PLAYBOOK  |  Sep – Nov</t>
  </si>
  <si>
    <t>Shoulder season. West wind ramps up. Watch overnight west wind gen.</t>
  </si>
  <si>
    <t>🟢  ACTIVE LINES — Priority Targets for Sep – Nov</t>
  </si>
  <si>
    <t>🟡  WATCH LINES — Monitor Closely in Sep – Nov</t>
  </si>
  <si>
    <t>WINTER CONGESTION PLAYBOOK  |  Dec – Feb</t>
  </si>
  <si>
    <t>Cold load events. Low renewables overnight. STP-ELMCREEK very active.</t>
  </si>
  <si>
    <t>🟢  ACTIVE LINES — Priority Targets for Dec – Feb</t>
  </si>
  <si>
    <t>Discharge at SP ≥ $300-500/MWh
(MCC $140+ at primary node)</t>
  </si>
  <si>
    <t>🟡  WATCH LINES — Monitor Closely in Dec – Feb</t>
  </si>
  <si>
    <t>Discharge at SP ≥ $300-500/MWh
(MCC $126+ at primary node)</t>
  </si>
  <si>
    <t>Discharge at SP ≥ $300-500/MWh
(MCC $145+ at primary node)</t>
  </si>
  <si>
    <t>SPRING CONGESTION PLAYBOOK  |  Mar – May</t>
  </si>
  <si>
    <t>Shoulder season. High system-wide wind events. Coastal &amp; south wind ramps.</t>
  </si>
  <si>
    <t>🟢  ACTIVE LINES — Priority Targets for Mar – May</t>
  </si>
  <si>
    <t>🟡  WATCH LINES — Monitor Closely in Mar – May</t>
  </si>
  <si>
    <t>See this with low West wind Generation. More specifically sub 6GW of Gen</t>
  </si>
  <si>
    <t>Above 9.5GW+ of west load. Mostly see it also when west temps reached above 91 degrees which is correlated with load patterns</t>
  </si>
  <si>
    <t>Discharge at SP ≥ $300-500/MWh
(MCC $171+ at primary node)</t>
  </si>
  <si>
    <t>Discharge at SP ≥ $500-800/MWh
(MCC $92+ at node)</t>
  </si>
  <si>
    <t>Discharge at SP ≥ $500-800/MWh
(MCC $77+ at node)</t>
  </si>
  <si>
    <t>NODAL SHIFT FACTOR REFERENCE TABLE — Source: ERCOT Historical Study (Apr 2025 – May 2026)</t>
  </si>
  <si>
    <t>Shift Factor = % of the line's shadow price passed through to that node as MCC. Blank = node not significantly exposed. Negative = inverse exposure.</t>
  </si>
  <si>
    <t>Total Shadow $</t>
  </si>
  <si>
    <t>Peak HEs</t>
  </si>
  <si>
    <t>West TX Range (10 sites)</t>
  </si>
  <si>
    <t>North TX Range (4 sites)</t>
  </si>
  <si>
    <t>Coastal Range (5 sites)</t>
  </si>
  <si>
    <t>Notable Non-Premium Site(s)</t>
  </si>
  <si>
    <t>0.0106 to 0.0350</t>
  </si>
  <si>
    <t>-0.0035 to -0.0033</t>
  </si>
  <si>
    <t>-0.0039 to -0.0026</t>
  </si>
  <si>
    <t>0.0062 to 0.0076</t>
  </si>
  <si>
    <t>0.0035 to 0.0042</t>
  </si>
  <si>
    <t>-0.0971 to -0.0039</t>
  </si>
  <si>
    <t>Falfurrias (Coastal): -0.0971</t>
  </si>
  <si>
    <t>0.0188 to 0.0199</t>
  </si>
  <si>
    <t>0.0038 to 0.0074</t>
  </si>
  <si>
    <t>-0.0133 to -0.0087</t>
  </si>
  <si>
    <t>0.0157 to 0.0215</t>
  </si>
  <si>
    <t>-0.0080 to 0.0011</t>
  </si>
  <si>
    <t>-0.0714 to 0.0561</t>
  </si>
  <si>
    <t>-0.0231 to -0.0025</t>
  </si>
  <si>
    <t>-0.0094 to -0.0050</t>
  </si>
  <si>
    <t>0.0100 to 0.0146</t>
  </si>
  <si>
    <t>0.0060 to 0.0074</t>
  </si>
  <si>
    <t>0.0037 to 0.0045</t>
  </si>
  <si>
    <t>-0.0970 to 0.0124</t>
  </si>
  <si>
    <t>Falfurrias (Coastal): -0.0970</t>
  </si>
  <si>
    <t>-0.7100</t>
  </si>
  <si>
    <t>-0.0400 to 0.1970</t>
  </si>
  <si>
    <t>0.1500 to 0.1700</t>
  </si>
  <si>
    <t>0.0196 to 0.2149</t>
  </si>
  <si>
    <t>-0.0464 to -0.0380</t>
  </si>
  <si>
    <t>-0.0130 to -0.0010</t>
  </si>
  <si>
    <t>0.0081 to 0.0134</t>
  </si>
  <si>
    <t>-0.0036 to 0.0006</t>
  </si>
  <si>
    <t>-0.2306 to -0.0771</t>
  </si>
  <si>
    <t>0.0060</t>
  </si>
  <si>
    <t>0.0030 to 0.0040</t>
  </si>
  <si>
    <t>-0.0591 to 0.0017</t>
  </si>
  <si>
    <t>Falfurrias (Coastal): -0.0591</t>
  </si>
  <si>
    <t>0.1990 to 0.2420</t>
  </si>
  <si>
    <t>-0.0660 to -0.0550</t>
  </si>
  <si>
    <t>-0.0150 to 0.0008</t>
  </si>
  <si>
    <t>0.0020</t>
  </si>
  <si>
    <t>0.0001 to 0.0008</t>
  </si>
  <si>
    <t>-0.1030 to 0.0180</t>
  </si>
  <si>
    <t>Falfurrias (Coastal): -0.1030</t>
  </si>
  <si>
    <t>0.0170</t>
  </si>
  <si>
    <t>0.0020 to 0.0040</t>
  </si>
  <si>
    <t>-0.0190 to -0.0080</t>
  </si>
  <si>
    <t>-0.0480 to -0.0350</t>
  </si>
  <si>
    <t>-0.0780 to -0.0740</t>
  </si>
  <si>
    <t>0.0600 to 0.1050</t>
  </si>
  <si>
    <t>0.0800 to 0.2000</t>
  </si>
  <si>
    <t>-0.0220 to -0.0210</t>
  </si>
  <si>
    <t>-0.0220 to -0.0200</t>
  </si>
  <si>
    <t>-0.0200</t>
  </si>
  <si>
    <t>0.0150</t>
  </si>
  <si>
    <t>0.0130</t>
  </si>
  <si>
    <t>0.0023 to 0.0026</t>
  </si>
  <si>
    <t>-0.0036 to -0.0016</t>
  </si>
  <si>
    <t>-0.0001 to 0.0004</t>
  </si>
  <si>
    <t>-0.0130</t>
  </si>
  <si>
    <t>0.0090 to 0.0200</t>
  </si>
  <si>
    <t>-0.1117 to -0.0890</t>
  </si>
  <si>
    <t>-0.0378 to -0.0171</t>
  </si>
  <si>
    <t>-0.0004 to 0.0004</t>
  </si>
  <si>
    <t>0.0030 to 0.0050</t>
  </si>
  <si>
    <t>0.0146 to 0.0161</t>
  </si>
  <si>
    <t>-0.0063 to -0.0048</t>
  </si>
  <si>
    <t>-0.0016 to -0.0004</t>
  </si>
  <si>
    <t>0.0350</t>
  </si>
  <si>
    <t>Mineral Wells (North): +0.0350</t>
  </si>
  <si>
    <t>0.1200 to 0.1580</t>
  </si>
  <si>
    <t>-0.0480 to -0.0410</t>
  </si>
  <si>
    <t>-0.0150</t>
  </si>
  <si>
    <t>0.0150 to 0.0230</t>
  </si>
  <si>
    <t>-0.0100</t>
  </si>
  <si>
    <t>0.0040</t>
  </si>
  <si>
    <t>0.0005 to 0.0010</t>
  </si>
  <si>
    <t>-0.0030 to -0.0020</t>
  </si>
  <si>
    <t>-0.0480</t>
  </si>
  <si>
    <t>-0.0190 to 0.0010</t>
  </si>
  <si>
    <t>0.0188 to 0.0200</t>
  </si>
  <si>
    <t>0.0530 to 0.0820</t>
  </si>
  <si>
    <t>-0.0570 to -0.0490</t>
  </si>
  <si>
    <t>-0.0350</t>
  </si>
  <si>
    <t>0.1350 to 0.2460</t>
  </si>
  <si>
    <t>-0.0460 to -0.0410</t>
  </si>
  <si>
    <t>-0.0270 to -0.0190</t>
  </si>
  <si>
    <t>0.0120 to 0.0150</t>
  </si>
  <si>
    <t>0.0026 to 0.0073</t>
  </si>
  <si>
    <t>0.0001 to 0.0002</t>
  </si>
  <si>
    <t>0.0020 to 0.0080</t>
  </si>
  <si>
    <t>-0.0010</t>
  </si>
  <si>
    <t>-0.0008 to -0.0004</t>
  </si>
  <si>
    <t>0.0008 to 0.0009</t>
  </si>
  <si>
    <t>0.0005 to 0.0006</t>
  </si>
  <si>
    <t>-0.0264 to 0.0018</t>
  </si>
  <si>
    <t>0.0363 to 0.1360</t>
  </si>
  <si>
    <t>-0.0069 to -0.0066</t>
  </si>
  <si>
    <t>-0.0050 to -0.0040</t>
  </si>
  <si>
    <t>Garden City (West): +0.1360</t>
  </si>
  <si>
    <t>-0.0137 to -0.0121</t>
  </si>
  <si>
    <t>-0.0278 to 0.0208</t>
  </si>
  <si>
    <t>0.0003 to 0.0029</t>
  </si>
  <si>
    <t>-0.0350 to -0.0160</t>
  </si>
  <si>
    <t>-0.0026 to -0.0026</t>
  </si>
  <si>
    <t>-0.0028 to -0.0027</t>
  </si>
  <si>
    <t>-0.0144 to 0.0392</t>
  </si>
  <si>
    <t>Falfurrias (Coastal): +0.0392</t>
  </si>
  <si>
    <t>0.0210 to 0.0500</t>
  </si>
  <si>
    <t>Falfurrias (Coastal): +0.0500</t>
  </si>
  <si>
    <t>-0.0510 to -0.0230</t>
  </si>
  <si>
    <t>Falfurrias (Coastal): -0.0510</t>
  </si>
  <si>
    <t>-0.0130 to -0.0110</t>
  </si>
  <si>
    <t>-0.0250 to -0.0200</t>
  </si>
  <si>
    <t>-0.0030</t>
  </si>
  <si>
    <t>-0.0020 to 0.0100</t>
  </si>
  <si>
    <t>-0.0030 to 0.0001</t>
  </si>
  <si>
    <t>-0.1440 to 0.0366</t>
  </si>
  <si>
    <t>0.0100 to 0.0110</t>
  </si>
  <si>
    <t>Gomez (West): -0.1440</t>
  </si>
  <si>
    <t>0.0100 to 0.0570</t>
  </si>
  <si>
    <t>-0.0060</t>
  </si>
  <si>
    <t>Mineral Wells (North): +0.0570</t>
  </si>
  <si>
    <t>0.0180</t>
  </si>
  <si>
    <t>-0.0380 to -0.0170</t>
  </si>
  <si>
    <t>-0.0500 to -0.0450</t>
  </si>
  <si>
    <t>-0.1100 to 0.0460</t>
  </si>
  <si>
    <t>-0.0200 to -0.0190</t>
  </si>
  <si>
    <t>-0.0266 to 0.0585</t>
  </si>
  <si>
    <t>Lufkin South (North): +0.0585</t>
  </si>
  <si>
    <t>0.0424 to 0.0564</t>
  </si>
  <si>
    <t>-0.0107 to -0.0099</t>
  </si>
  <si>
    <t>-0.0047 to -0.0026</t>
  </si>
  <si>
    <t>-0.0163 to 0.0828</t>
  </si>
  <si>
    <t>-0.0064 to -0.0058</t>
  </si>
  <si>
    <t>-0.0004</t>
  </si>
  <si>
    <t>0.0050</t>
  </si>
  <si>
    <t>0.0004 to 0.0010</t>
  </si>
  <si>
    <t>-0.0070 to -0.0030</t>
  </si>
  <si>
    <t>0.0400</t>
  </si>
  <si>
    <t>0.0870 to 0.1200</t>
  </si>
  <si>
    <t>-0.0800 to -0.0500</t>
  </si>
  <si>
    <t>-0.0047 to -0.0041</t>
  </si>
  <si>
    <t>-0.0021 to 0.0062</t>
  </si>
  <si>
    <t>-0.0026 to -0.0025</t>
  </si>
  <si>
    <t>-0.0440 to -0.0044</t>
  </si>
  <si>
    <t>-0.0210 to -0.0020</t>
  </si>
  <si>
    <t>0.0208 to 0.0210</t>
  </si>
  <si>
    <t>-0.0190 to -0.0130</t>
  </si>
  <si>
    <t>0.0150 to 0.0180</t>
  </si>
  <si>
    <t>-0.0410 to -0.0310</t>
  </si>
  <si>
    <t>0.0170 to 0.0350</t>
  </si>
  <si>
    <t>-0.0050 to -0.0007</t>
  </si>
  <si>
    <t>0.0100</t>
  </si>
  <si>
    <t>-0.0250 to -0.0170</t>
  </si>
  <si>
    <t>-0.0920 to -0.0680</t>
  </si>
  <si>
    <t>0.0680 to 0.0930</t>
  </si>
  <si>
    <t>-0.0610 to -0.0430</t>
  </si>
  <si>
    <t>-0.0016 to -0.0007</t>
  </si>
  <si>
    <t>-0.0003 to -0.0001</t>
  </si>
  <si>
    <t>0.0200 to 0.0320</t>
  </si>
  <si>
    <t>0.0820 to 0.1000</t>
  </si>
  <si>
    <t>-0.1000 to -0.0770</t>
  </si>
  <si>
    <t>-0.0480 to -0.0420</t>
  </si>
  <si>
    <t>-0.0620 to -0.0570</t>
  </si>
  <si>
    <t>0.0210</t>
  </si>
  <si>
    <t>-0.0140 to -0.0110</t>
  </si>
  <si>
    <t>0.0100 to 0.0300</t>
  </si>
  <si>
    <t>-0.1300 to -0.0750</t>
  </si>
  <si>
    <t>-0.0175 to -0.0138</t>
  </si>
  <si>
    <t>-0.0780 to -0.0700</t>
  </si>
  <si>
    <t>-0.1000 to -0.0950</t>
  </si>
  <si>
    <t>0.1000 to 0.1538</t>
  </si>
  <si>
    <t>0.0200 to 0.0300</t>
  </si>
  <si>
    <t>-0.0230 to -0.0190</t>
  </si>
  <si>
    <t>0.0470</t>
  </si>
  <si>
    <t>Falfurrias (Coastal): +0.0470</t>
  </si>
  <si>
    <t>-0.0280 to 0.1000</t>
  </si>
  <si>
    <t>-0.0100 to -0.0080</t>
  </si>
  <si>
    <t>-0.0580 to -0.0570</t>
  </si>
  <si>
    <t>0.0260 to 0.0340</t>
  </si>
  <si>
    <t>-0.0580 to -0.0400</t>
  </si>
  <si>
    <t>-0.1300 to -0.1200</t>
  </si>
  <si>
    <t>-0.0340 to -0.0130</t>
  </si>
  <si>
    <t>0.0540 to 0.0760</t>
  </si>
  <si>
    <t>-0.1000 to 0.2010</t>
  </si>
  <si>
    <t>-0.0660 to -0.0610</t>
  </si>
  <si>
    <t>0.0390 to 0.1120</t>
  </si>
  <si>
    <t>-0.0220 to -0.0120</t>
  </si>
  <si>
    <t>Farmersville (North): +0.1120</t>
  </si>
  <si>
    <t>0.0450 to 0.0770</t>
  </si>
  <si>
    <t>-0.0590 to -0.0490</t>
  </si>
  <si>
    <t>-0.0390 to -0.0330</t>
  </si>
  <si>
    <t>0.0330 to 0.0630</t>
  </si>
  <si>
    <t>-0.0680 to -0.0470</t>
  </si>
  <si>
    <t>-0.0240</t>
  </si>
  <si>
    <t>-0.0230</t>
  </si>
  <si>
    <t>0.1990 to 0.3320</t>
  </si>
  <si>
    <t>-0.0120 to -0.0100</t>
  </si>
  <si>
    <t>0.0230 to 0.4790</t>
  </si>
  <si>
    <t>Pavlov (Coastal): +0.4790</t>
  </si>
  <si>
    <t>-0.0010 to -0.0005</t>
  </si>
  <si>
    <t>-0.0090</t>
  </si>
  <si>
    <t>-0.0290 to -0.0260</t>
  </si>
  <si>
    <t>0.0280 to 0.0450</t>
  </si>
  <si>
    <t>0.0290 to 0.0380</t>
  </si>
  <si>
    <t>0.0110</t>
  </si>
  <si>
    <t>-0.0740 to 0.0530</t>
  </si>
  <si>
    <t>0.1360</t>
  </si>
  <si>
    <t>Mineral Wells (North): +0.1360</t>
  </si>
  <si>
    <t>-0.0140</t>
  </si>
  <si>
    <t>0.0130 to 0.0170</t>
  </si>
  <si>
    <t>-0.0260 to -0.0190</t>
  </si>
  <si>
    <t>0.0100 to 0.0230</t>
  </si>
  <si>
    <t>-0.1400 to -0.1100</t>
  </si>
  <si>
    <t>0.0350 to 0.1350</t>
  </si>
  <si>
    <t>Garden City (West): +0.1350</t>
  </si>
  <si>
    <t>🆕  NEW — Identified via updated site-level crosswalk (not yet priority-classified)</t>
  </si>
  <si>
    <t>Poteet (Coastal): +0.3910</t>
  </si>
  <si>
    <t>0.2250</t>
  </si>
  <si>
    <t>Mineral Wells (North): +0.2250</t>
  </si>
  <si>
    <t>Columns R–U (added): West TX (10 sites), North TX (4 sites), and Coastal (5 sites) ranges show the min-to-max shift factor across that region's non-premium-tier sites for this line — use as a rough regional exposure gauge, not a per-site number. "—" = no meaningful exposure in that region. Notable Non-Premium Site(s) calls out any single site whose exposure is well above its regional peers (worth tracking individually rather than folding into the range).</t>
  </si>
  <si>
    <t>HOURLY DISCHARGE GUIDE — Historical Shadow Pricing by Hour Ending (Apr 2025 – May 2026)</t>
  </si>
  <si>
    <t>Values = Total $ shadow pricing accumulated in that hour over the study period. Higher = more congestion exposure in that hour. Color intensity = relative magnitude.</t>
  </si>
  <si>
    <t>Total $</t>
  </si>
  <si>
    <t>HE1</t>
  </si>
  <si>
    <t>HE2</t>
  </si>
  <si>
    <t>HE3</t>
  </si>
  <si>
    <t>HE4</t>
  </si>
  <si>
    <t>HE5</t>
  </si>
  <si>
    <t>HE6</t>
  </si>
  <si>
    <t>HE7</t>
  </si>
  <si>
    <t>HE8</t>
  </si>
  <si>
    <t>HE9</t>
  </si>
  <si>
    <t>HE10</t>
  </si>
  <si>
    <t>HE11</t>
  </si>
  <si>
    <t>HE12</t>
  </si>
  <si>
    <t>HE13</t>
  </si>
  <si>
    <t>HE14</t>
  </si>
  <si>
    <t>HE15</t>
  </si>
  <si>
    <t>HE16</t>
  </si>
  <si>
    <t>HE17</t>
  </si>
  <si>
    <t>HE18</t>
  </si>
  <si>
    <t>HE19</t>
  </si>
  <si>
    <t>HE20</t>
  </si>
  <si>
    <t>HE21</t>
  </si>
  <si>
    <t>HE22</t>
  </si>
  <si>
    <t>HE23</t>
  </si>
  <si>
    <t>HE24</t>
  </si>
  <si>
    <t>HEAT MAP LEGEND:</t>
  </si>
  <si>
    <t>&gt;70% of peak</t>
  </si>
  <si>
    <t>40-70%</t>
  </si>
  <si>
    <t>15-40%</t>
  </si>
  <si>
    <t>5-15%</t>
  </si>
  <si>
    <t>&lt;5%</t>
  </si>
  <si>
    <t xml:space="preserve">🆕  NEW </t>
  </si>
  <si>
    <t>MV_BHBRG4-MV_WESL$ 138kV</t>
  </si>
  <si>
    <t>New</t>
  </si>
  <si>
    <t>HE 16-19</t>
  </si>
  <si>
    <t>Val Verde (15%)</t>
  </si>
  <si>
    <t>Falfurrias (3%) Holcomb (1%)</t>
  </si>
  <si>
    <t>POTEET-OAKS 69kV</t>
  </si>
  <si>
    <t>HE16-19</t>
  </si>
  <si>
    <t>Poteet (-44%)</t>
  </si>
  <si>
    <t>Hold if south wind is increasing. Rip before solar falls out. Hold charge room if we're expecting congestion</t>
  </si>
  <si>
    <t>ORNGROV-ORNGROC</t>
  </si>
  <si>
    <t>This congestion also stems from STX wind generation. Don't know where the wind gen is coming from exactly (some local wind farm) but when you see this congestion pop up, know it is from the stx wind output</t>
  </si>
  <si>
    <t>Tynan (17%)</t>
  </si>
  <si>
    <t>Rip it when you see it</t>
  </si>
  <si>
    <t>ORNGROV-SNDIEGS 69kV</t>
  </si>
  <si>
    <t>NEW</t>
  </si>
  <si>
    <t>HE14-16</t>
  </si>
  <si>
    <t>outage driven</t>
  </si>
  <si>
    <t>Fafurrias (5%) Tynan (-5%)</t>
  </si>
  <si>
    <t>Rip Falfurrias when it pops up</t>
  </si>
  <si>
    <t>This congestion is driven by a line outage from ALICE_KINGSV. Rip falfurrias when you see this congestion and tynan will see a charge window. The ALICE_KINGSV line normally goes into outage in the morning, then comes back online. Just have to check outage scheduler to see when the line is coming back online.</t>
  </si>
  <si>
    <t>All but strong in summer</t>
  </si>
  <si>
    <t xml:space="preserve">Historically this congestion was seen over the summer but don't have any real shadow pricing since september of 2025. The main driver of this congestion was elevated STX wind patterns overnight. </t>
  </si>
  <si>
    <t xml:space="preserve">Structural congestion </t>
  </si>
  <si>
    <t>HE20-23</t>
  </si>
  <si>
    <t>MW overload is around 200MW. Once we get close to this # line starts to bind. There's typically a lot of line outages in the region when we see this congestion pop up, so once you see it pop up, look into the line outages that stack up</t>
  </si>
  <si>
    <t>The primary driver for this congestion is high far west west wind + far west solar generation trying to push power up to the north DURING THE SOLAR WINDOW</t>
  </si>
  <si>
    <t xml:space="preserve">See flare up in days of high renewable generation. Our renewable generation number is 40GW for wind and solar, during days of load below 75GW. During days were load can reach 85-90GW we need to see 46GW+ of wind and solar. Seen in all hours of the day but most common during solar ramps. Shows up overnight when west Gen reaches above 15GW with a relatively low load. </t>
  </si>
  <si>
    <t xml:space="preserve">During the peak months, I think we need 45+GW of renewables online for this congestion to pop up. Especially when load reached 85GW+. </t>
  </si>
  <si>
    <t>HE16-18 strongest</t>
  </si>
  <si>
    <t xml:space="preserve">Strongest pricing seen in the summer (hot). When RT West load gets up to 9GW we will see this, especially when solar is ramping offline. It's driven by strong Far West solar and strong west wind. The combination of (Far west solar + West Wind) being above 10GW is a good indicator that we will see this congestion from 5pm-7pmish. </t>
  </si>
  <si>
    <r>
      <t xml:space="preserve">Long term: South wind is the main source of this congestion but it really just shows up with high demand in the summer </t>
    </r>
    <r>
      <rPr>
        <b/>
        <u/>
        <sz val="10"/>
        <color rgb="FF000000"/>
        <rFont val="Arial"/>
        <family val="2"/>
      </rPr>
      <t>(18 + of STX load)</t>
    </r>
    <r>
      <rPr>
        <b/>
        <sz val="10"/>
        <color rgb="FF000000"/>
        <rFont val="Arial"/>
        <family val="2"/>
      </rPr>
      <t xml:space="preserve"> and will stick around all summer. The time window is all that really needs to be considered. This congestion really started up in May. </t>
    </r>
  </si>
  <si>
    <t>Always drops out before HE20!! Outage from AJO_REFORZ21_LN also is main cause. This congestion binds 50% of the time when south load reaches 22GW+ and seasonally starts when south loads start reaching 18GW. South wind also major contributor</t>
  </si>
  <si>
    <t xml:space="preserve">Also need DEVINE-BIGFOOT in outage for this congestion. Window can be from 2pm-7pm. Best thresehold I have is 800MW of south wind and 14GW of south central weatherzone load. </t>
  </si>
  <si>
    <r>
      <rPr>
        <b/>
        <u/>
        <sz val="10"/>
        <color rgb="FF000000"/>
        <rFont val="Arial"/>
        <family val="2"/>
      </rPr>
      <t xml:space="preserve">Hold if south wind is increasing and congestion shows up earlier than designated time window but most of time it's a rip it when you see it. </t>
    </r>
    <r>
      <rPr>
        <b/>
        <sz val="10"/>
        <color rgb="FF000000"/>
        <rFont val="Arial"/>
        <family val="2"/>
      </rPr>
      <t>Rip before it falls off. HE16-19 strongest shadow prices. Rip it before HE20</t>
    </r>
  </si>
  <si>
    <t>GR_Coastal above ~1,900-2,000 MW AND SCEN (south central) load above 14,000 MW, in the 14:00-19:00 window.</t>
  </si>
  <si>
    <t>see this with really low coastal and south winds. Like sub 1GW for each. In the middle of the day, we can see this when coastal and south wind go down to 500MW in both regions (both have less than 500MW of gen)</t>
  </si>
  <si>
    <t>This is a newer congestion… started in Nov 2025. see this congestion with coastal and south wind gen at 2.5GW+ with west wind dropping out or even below 10GW. Look to PILONCIL-NLARSW for negative congestion</t>
  </si>
  <si>
    <t>All hours, track wind</t>
  </si>
  <si>
    <t>really just important to track the wind. If South gen stays below 500MW and coastal is also below 500MW during middle of day with low west wind, could see this really flare up all day</t>
  </si>
  <si>
    <t xml:space="preserve">Main drivers with the outage for this congestion is seeing south wind go below 300MW during the solar window. </t>
  </si>
  <si>
    <t>If this shows up during the down ramp, it's typically caused by a dying west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</si>
</sst>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0"/>
    <numFmt numFmtId="167" formatCode="&quot;$&quot;#,##0.00"/>
  </numFmts>
  <fonts count="45" x14ac:knownFonts="1">
    <font>
      <sz val="11"/>
      <color theme="1"/>
      <name val="Calibri"/>
      <family val="2"/>
      <charset val="1"/>
    </font>
    <font>
      <b/>
      <sz val="22"/>
      <color rgb="FF1C2B3A"/>
      <name val="Arial"/>
      <family val="2"/>
    </font>
    <font>
      <i/>
      <sz val="11"/>
      <color rgb="FF546E7A"/>
      <name val="Arial"/>
      <family val="2"/>
    </font>
    <font>
      <b/>
      <sz val="16"/>
      <color rgb="FF1C2B3A"/>
      <name val="Arial"/>
      <family val="2"/>
    </font>
    <font>
      <b/>
      <sz val="13"/>
      <color rgb="FF1565C0"/>
      <name val="Arial"/>
      <family val="2"/>
    </font>
    <font>
      <sz val="11"/>
      <color rgb="FF212121"/>
      <name val="Arial"/>
      <family val="2"/>
    </font>
    <font>
      <i/>
      <sz val="10"/>
      <color rgb="FF9E9E9E"/>
      <name val="Arial"/>
      <family val="2"/>
    </font>
    <font>
      <b/>
      <sz val="14"/>
      <color rgb="FFFFFFFF"/>
      <name val="Arial"/>
      <family val="2"/>
    </font>
    <font>
      <sz val="10"/>
      <color rgb="FFB0C4DE"/>
      <name val="Arial"/>
      <family val="2"/>
    </font>
    <font>
      <b/>
      <sz val="10"/>
      <color rgb="FFFFFFFF"/>
      <name val="Arial"/>
      <family val="2"/>
    </font>
    <font>
      <b/>
      <sz val="11"/>
      <color rgb="FFFFFFFF"/>
      <name val="Arial"/>
      <family val="2"/>
    </font>
    <font>
      <b/>
      <sz val="10"/>
      <color rgb="FF000000"/>
      <name val="Arial"/>
      <family val="2"/>
    </font>
    <font>
      <b/>
      <sz val="11"/>
      <color rgb="FF2E7D32"/>
      <name val="Arial"/>
      <family val="2"/>
    </font>
    <font>
      <sz val="10"/>
      <color rgb="FF000000"/>
      <name val="Arial"/>
      <family val="2"/>
    </font>
    <font>
      <b/>
      <sz val="10"/>
      <color rgb="FF1565C0"/>
      <name val="Arial"/>
      <family val="2"/>
    </font>
    <font>
      <b/>
      <sz val="10"/>
      <color rgb="FF2E7D32"/>
      <name val="Arial"/>
      <family val="2"/>
    </font>
    <font>
      <i/>
      <sz val="10"/>
      <color rgb="FF616161"/>
      <name val="Arial"/>
      <family val="2"/>
    </font>
    <font>
      <sz val="10"/>
      <color rgb="FF616161"/>
      <name val="Arial"/>
      <family val="2"/>
    </font>
    <font>
      <sz val="10"/>
      <color rgb="FFE65100"/>
      <name val="Arial"/>
      <family val="2"/>
    </font>
    <font>
      <b/>
      <sz val="11"/>
      <color rgb="FFE65100"/>
      <name val="Arial"/>
      <family val="2"/>
    </font>
    <font>
      <b/>
      <sz val="11"/>
      <color rgb="FF616161"/>
      <name val="Arial"/>
      <family val="2"/>
    </font>
    <font>
      <sz val="11"/>
      <color rgb="FFB0C4DE"/>
      <name val="Arial"/>
      <family val="2"/>
    </font>
    <font>
      <b/>
      <sz val="12"/>
      <color rgb="FFFFFFFF"/>
      <name val="Arial"/>
      <family val="2"/>
    </font>
    <font>
      <b/>
      <sz val="18"/>
      <color rgb="FFE65100"/>
      <name val="Arial"/>
      <family val="2"/>
    </font>
    <font>
      <i/>
      <sz val="11"/>
      <color rgb="FFE65100"/>
      <name val="Arial"/>
      <family val="2"/>
    </font>
    <font>
      <sz val="9"/>
      <color rgb="FF616161"/>
      <name val="Arial"/>
      <family val="2"/>
    </font>
    <font>
      <i/>
      <sz val="10"/>
      <color rgb="FFC62828"/>
      <name val="Arial"/>
      <family val="2"/>
    </font>
    <font>
      <b/>
      <sz val="10"/>
      <color rgb="FFE65100"/>
      <name val="Arial"/>
      <family val="2"/>
    </font>
    <font>
      <i/>
      <sz val="10"/>
      <color rgb="FF5D4037"/>
      <name val="Arial"/>
      <family val="2"/>
    </font>
    <font>
      <i/>
      <sz val="11"/>
      <color rgb="FF4E342E"/>
      <name val="Arial"/>
      <family val="2"/>
    </font>
    <font>
      <b/>
      <sz val="13"/>
      <color rgb="FFFFFFFF"/>
      <name val="Arial"/>
      <family val="2"/>
    </font>
    <font>
      <b/>
      <sz val="10"/>
      <color rgb="FF1B5E20"/>
      <name val="Arial"/>
      <family val="2"/>
    </font>
    <font>
      <b/>
      <sz val="10"/>
      <color rgb="FF33691E"/>
      <name val="Arial"/>
      <family val="2"/>
    </font>
    <font>
      <i/>
      <sz val="10"/>
      <color rgb="FFBF360C"/>
      <name val="Arial"/>
      <family val="2"/>
    </font>
    <font>
      <b/>
      <sz val="10"/>
      <color rgb="FF616161"/>
      <name val="Arial"/>
      <family val="2"/>
    </font>
    <font>
      <sz val="8"/>
      <color rgb="FFFFFFFF"/>
      <name val="Arial"/>
      <family val="2"/>
    </font>
    <font>
      <sz val="8"/>
      <color rgb="FF1A237E"/>
      <name val="Arial"/>
      <family val="2"/>
    </font>
    <font>
      <sz val="8"/>
      <color rgb="FFBDBDBD"/>
      <name val="Arial"/>
      <family val="2"/>
    </font>
    <font>
      <sz val="8"/>
      <color rgb="FF0D47A1"/>
      <name val="Arial"/>
      <family val="2"/>
    </font>
    <font>
      <b/>
      <sz val="10"/>
      <color rgb="FF0D47A1"/>
      <name val="Arial"/>
      <family val="2"/>
    </font>
    <font>
      <b/>
      <sz val="10"/>
      <color rgb="FF1A237E"/>
      <name val="Arial"/>
      <family val="2"/>
    </font>
    <font>
      <b/>
      <sz val="10"/>
      <color rgb="FFBDBDBD"/>
      <name val="Arial"/>
      <family val="2"/>
    </font>
    <font>
      <sz val="11"/>
      <color theme="1"/>
      <name val="Calibri"/>
      <family val="2"/>
      <charset val="1"/>
    </font>
    <font>
      <b/>
      <sz val="10"/>
      <color rgb="FF0070C0"/>
      <name val="Arial"/>
      <family val="2"/>
    </font>
    <font>
      <b/>
      <u/>
      <sz val="10"/>
      <color rgb="FF000000"/>
      <name val="Arial"/>
      <family val="2"/>
    </font>
  </fonts>
  <fills count="25">
    <fill>
      <patternFill patternType="none"/>
    </fill>
    <fill>
      <patternFill patternType="gray125"/>
    </fill>
    <fill>
      <patternFill patternType="solid">
        <fgColor rgb="FFE3F0FF"/>
        <bgColor rgb="FFE3F2FD"/>
      </patternFill>
    </fill>
    <fill>
      <patternFill patternType="solid">
        <fgColor rgb="FF1C2B3A"/>
        <bgColor rgb="FF243447"/>
      </patternFill>
    </fill>
    <fill>
      <patternFill patternType="solid">
        <fgColor rgb="FF243447"/>
        <bgColor rgb="FF1C2B3A"/>
      </patternFill>
    </fill>
    <fill>
      <patternFill patternType="solid">
        <fgColor rgb="FF1F3A5F"/>
        <bgColor rgb="FF243447"/>
      </patternFill>
    </fill>
    <fill>
      <patternFill patternType="solid">
        <fgColor rgb="FF1A4731"/>
        <bgColor rgb="FF243447"/>
      </patternFill>
    </fill>
    <fill>
      <patternFill patternType="solid">
        <fgColor rgb="FFE8F5E9"/>
        <bgColor rgb="FFE3F2FD"/>
      </patternFill>
    </fill>
    <fill>
      <patternFill patternType="solid">
        <fgColor rgb="FF4A3500"/>
        <bgColor rgb="FF4E342E"/>
      </patternFill>
    </fill>
    <fill>
      <patternFill patternType="solid">
        <fgColor rgb="FFFFFDE7"/>
        <bgColor rgb="FFFAFAFA"/>
      </patternFill>
    </fill>
    <fill>
      <patternFill patternType="solid">
        <fgColor rgb="FFF5F5F5"/>
        <bgColor rgb="FFFAFAFA"/>
      </patternFill>
    </fill>
    <fill>
      <patternFill patternType="solid">
        <fgColor rgb="FF2E4A6B"/>
        <bgColor rgb="FF1F3A5F"/>
      </patternFill>
    </fill>
    <fill>
      <patternFill patternType="solid">
        <fgColor rgb="FFFFF9C4"/>
        <bgColor rgb="FFFFFDE7"/>
      </patternFill>
    </fill>
    <fill>
      <patternFill patternType="solid">
        <fgColor rgb="FFFFE0B2"/>
        <bgColor rgb="FFFFCCBC"/>
      </patternFill>
    </fill>
    <fill>
      <patternFill patternType="solid">
        <fgColor rgb="FFFFCCBC"/>
        <bgColor rgb="FFFFE0B2"/>
      </patternFill>
    </fill>
    <fill>
      <patternFill patternType="solid">
        <fgColor rgb="FFBBDEFB"/>
        <bgColor rgb="FFCFD8DC"/>
      </patternFill>
    </fill>
    <fill>
      <patternFill patternType="solid">
        <fgColor rgb="FFC8E6C9"/>
        <bgColor rgb="FFDCEDC8"/>
      </patternFill>
    </fill>
    <fill>
      <patternFill patternType="solid">
        <fgColor rgb="FFDCEDC8"/>
        <bgColor rgb="FFC8E6C9"/>
      </patternFill>
    </fill>
    <fill>
      <patternFill patternType="solid">
        <fgColor rgb="FF42A5F5"/>
        <bgColor rgb="FF00CCFF"/>
      </patternFill>
    </fill>
    <fill>
      <patternFill patternType="solid">
        <fgColor rgb="FF1565C0"/>
        <bgColor rgb="FF0D47A1"/>
      </patternFill>
    </fill>
    <fill>
      <patternFill patternType="solid">
        <fgColor rgb="FFE3F2FD"/>
        <bgColor rgb="FFE3F0FF"/>
      </patternFill>
    </fill>
    <fill>
      <patternFill patternType="solid">
        <fgColor rgb="FFFAFAFA"/>
        <bgColor rgb="FFFFFFFF"/>
      </patternFill>
    </fill>
    <fill>
      <patternFill patternType="solid">
        <fgColor rgb="FF90CAF9"/>
        <bgColor rgb="FFB0C4DE"/>
      </patternFill>
    </fill>
    <fill>
      <patternFill patternType="solid">
        <fgColor rgb="FFFFFF00"/>
        <bgColor rgb="FFFAFAFA"/>
      </patternFill>
    </fill>
    <fill>
      <patternFill patternType="solid">
        <fgColor rgb="FFE1F0FF"/>
        <bgColor rgb="FFE1F0FF"/>
      </patternFill>
    </fill>
  </fills>
  <borders count="6">
    <border>
      <left/>
      <right/>
      <top/>
      <bottom/>
      <diagonal/>
    </border>
    <border>
      <left style="thin">
        <color rgb="FF607D8B"/>
      </left>
      <right style="thin">
        <color rgb="FF607D8B"/>
      </right>
      <top style="thin">
        <color rgb="FF607D8B"/>
      </top>
      <bottom style="thin">
        <color rgb="FF607D8B"/>
      </bottom>
      <diagonal/>
    </border>
    <border>
      <left style="thin">
        <color rgb="FFCFD8DC"/>
      </left>
      <right style="thin">
        <color rgb="FFCFD8DC"/>
      </right>
      <top style="thin">
        <color rgb="FFCFD8DC"/>
      </top>
      <bottom style="thin">
        <color rgb="FFCFD8DC"/>
      </bottom>
      <diagonal/>
    </border>
    <border>
      <left style="thick">
        <color rgb="FFE65100"/>
      </left>
      <right style="thick">
        <color rgb="FFE65100"/>
      </right>
      <top style="thick">
        <color rgb="FFE65100"/>
      </top>
      <bottom style="thick">
        <color rgb="FFE65100"/>
      </bottom>
      <diagonal/>
    </border>
    <border>
      <left style="thin">
        <color rgb="FFBDBDBD"/>
      </left>
      <right style="thin">
        <color rgb="FFBDBDBD"/>
      </right>
      <top style="thin">
        <color rgb="FFBDBDBD"/>
      </top>
      <bottom style="thin">
        <color rgb="FFBDBDBD"/>
      </bottom>
      <diagonal/>
    </border>
    <border>
      <left style="thin">
        <color rgb="FFCFD8DC"/>
      </left>
      <right style="thin">
        <color rgb="FFCFD8DC"/>
      </right>
      <top/>
      <bottom/>
      <diagonal/>
    </border>
  </borders>
  <cellStyleXfs count="2">
    <xf numFmtId="0" fontId="0" fillId="0" borderId="0"/>
    <xf numFmtId="9" fontId="42" fillId="0" borderId="0" applyFont="0" applyFill="0" applyBorder="0" applyAlignment="0" applyProtection="0"/>
  </cellStyleXfs>
  <cellXfs count="130">
    <xf numFmtId="0" fontId="0" fillId="0" borderId="0" xfId="0"/>
    <xf numFmtId="0" fontId="1" fillId="0" borderId="0" xfId="0" applyFont="1" applyAlignment="1">
      <alignment horizontal="center" vertical="center"/>
    </xf>
    <xf numFmtId="0" fontId="2" fillId="0" borderId="0" xfId="0" applyFont="1" applyAlignment="1">
      <alignment horizontal="center"/>
    </xf>
    <xf numFmtId="0" fontId="3" fillId="2" borderId="0" xfId="0" applyFont="1" applyFill="1" applyAlignment="1">
      <alignment horizontal="center" vertical="center"/>
    </xf>
    <xf numFmtId="0" fontId="4" fillId="0" borderId="0" xfId="0" applyFont="1"/>
    <xf numFmtId="0" fontId="5" fillId="0" borderId="0" xfId="0" applyFont="1" applyAlignment="1">
      <alignment vertical="top" wrapText="1"/>
    </xf>
    <xf numFmtId="0" fontId="6" fillId="0" borderId="0" xfId="0" applyFont="1" applyAlignment="1">
      <alignment horizontal="center"/>
    </xf>
    <xf numFmtId="0" fontId="9" fillId="5" borderId="1" xfId="0" applyFont="1" applyFill="1" applyBorder="1" applyAlignment="1">
      <alignment horizontal="center" vertical="center" wrapText="1"/>
    </xf>
    <xf numFmtId="0" fontId="11" fillId="7" borderId="2" xfId="0" applyFont="1" applyFill="1" applyBorder="1" applyAlignment="1">
      <alignment horizontal="left" vertical="center" wrapText="1"/>
    </xf>
    <xf numFmtId="0" fontId="12" fillId="7" borderId="2" xfId="0" applyFont="1" applyFill="1" applyBorder="1" applyAlignment="1">
      <alignment horizontal="center" vertical="center" wrapText="1"/>
    </xf>
    <xf numFmtId="0" fontId="13" fillId="7" borderId="2" xfId="0" applyFont="1" applyFill="1" applyBorder="1" applyAlignment="1">
      <alignment horizontal="left" vertical="center" wrapText="1"/>
    </xf>
    <xf numFmtId="0" fontId="13" fillId="7" borderId="2" xfId="0" applyFont="1" applyFill="1" applyBorder="1" applyAlignment="1">
      <alignment horizontal="center" vertical="center" wrapText="1"/>
    </xf>
    <xf numFmtId="164" fontId="14" fillId="7" borderId="2" xfId="0" applyNumberFormat="1" applyFont="1" applyFill="1" applyBorder="1" applyAlignment="1">
      <alignment horizontal="center" vertical="center" wrapText="1"/>
    </xf>
    <xf numFmtId="165" fontId="15" fillId="7" borderId="2" xfId="0" applyNumberFormat="1" applyFont="1" applyFill="1" applyBorder="1" applyAlignment="1">
      <alignment horizontal="center" vertical="center" wrapText="1"/>
    </xf>
    <xf numFmtId="0" fontId="16" fillId="7" borderId="2" xfId="0" applyFont="1" applyFill="1" applyBorder="1" applyAlignment="1">
      <alignment horizontal="left" vertical="center" wrapText="1"/>
    </xf>
    <xf numFmtId="165" fontId="17" fillId="7" borderId="2" xfId="0" applyNumberFormat="1" applyFont="1" applyFill="1" applyBorder="1" applyAlignment="1">
      <alignment horizontal="center" vertical="center" wrapText="1"/>
    </xf>
    <xf numFmtId="165" fontId="18" fillId="7" borderId="2" xfId="0" applyNumberFormat="1" applyFont="1" applyFill="1" applyBorder="1" applyAlignment="1">
      <alignment horizontal="center" vertical="center" wrapText="1"/>
    </xf>
    <xf numFmtId="0" fontId="11" fillId="9" borderId="2" xfId="0" applyFont="1" applyFill="1" applyBorder="1" applyAlignment="1">
      <alignment horizontal="left" vertical="center" wrapText="1"/>
    </xf>
    <xf numFmtId="0" fontId="19" fillId="9" borderId="2" xfId="0" applyFont="1" applyFill="1" applyBorder="1" applyAlignment="1">
      <alignment horizontal="center" vertical="center" wrapText="1"/>
    </xf>
    <xf numFmtId="0" fontId="13" fillId="9" borderId="2" xfId="0" applyFont="1" applyFill="1" applyBorder="1" applyAlignment="1">
      <alignment horizontal="left" vertical="center" wrapText="1"/>
    </xf>
    <xf numFmtId="0" fontId="13" fillId="9" borderId="2" xfId="0" applyFont="1" applyFill="1" applyBorder="1" applyAlignment="1">
      <alignment horizontal="center" vertical="center" wrapText="1"/>
    </xf>
    <xf numFmtId="164" fontId="14" fillId="9" borderId="2" xfId="0" applyNumberFormat="1" applyFont="1" applyFill="1" applyBorder="1" applyAlignment="1">
      <alignment horizontal="center" vertical="center" wrapText="1"/>
    </xf>
    <xf numFmtId="165" fontId="15" fillId="9" borderId="2" xfId="0" applyNumberFormat="1" applyFont="1" applyFill="1" applyBorder="1" applyAlignment="1">
      <alignment horizontal="center" vertical="center" wrapText="1"/>
    </xf>
    <xf numFmtId="0" fontId="16" fillId="9" borderId="2" xfId="0" applyFont="1" applyFill="1" applyBorder="1" applyAlignment="1">
      <alignment horizontal="left" vertical="center" wrapText="1"/>
    </xf>
    <xf numFmtId="165" fontId="18" fillId="9" borderId="2" xfId="0" applyNumberFormat="1" applyFont="1" applyFill="1" applyBorder="1" applyAlignment="1">
      <alignment horizontal="center" vertical="center" wrapText="1"/>
    </xf>
    <xf numFmtId="165" fontId="17" fillId="9" borderId="2" xfId="0" applyNumberFormat="1" applyFont="1" applyFill="1" applyBorder="1" applyAlignment="1">
      <alignment horizontal="center" vertical="center" wrapText="1"/>
    </xf>
    <xf numFmtId="0" fontId="11" fillId="10" borderId="2" xfId="0" applyFont="1" applyFill="1" applyBorder="1" applyAlignment="1">
      <alignment horizontal="left" vertical="center" wrapText="1"/>
    </xf>
    <xf numFmtId="0" fontId="20" fillId="10" borderId="2" xfId="0" applyFont="1" applyFill="1" applyBorder="1" applyAlignment="1">
      <alignment horizontal="center" vertical="center" wrapText="1"/>
    </xf>
    <xf numFmtId="0" fontId="13" fillId="10" borderId="2" xfId="0" applyFont="1" applyFill="1" applyBorder="1" applyAlignment="1">
      <alignment horizontal="left" vertical="center" wrapText="1"/>
    </xf>
    <xf numFmtId="0" fontId="13" fillId="10" borderId="2" xfId="0" applyFont="1" applyFill="1" applyBorder="1" applyAlignment="1">
      <alignment horizontal="center" vertical="center" wrapText="1"/>
    </xf>
    <xf numFmtId="164" fontId="14" fillId="10" borderId="2" xfId="0" applyNumberFormat="1" applyFont="1" applyFill="1" applyBorder="1" applyAlignment="1">
      <alignment horizontal="center" vertical="center" wrapText="1"/>
    </xf>
    <xf numFmtId="165" fontId="17" fillId="10" borderId="2" xfId="0" applyNumberFormat="1" applyFont="1" applyFill="1" applyBorder="1" applyAlignment="1">
      <alignment horizontal="center" vertical="center" wrapText="1"/>
    </xf>
    <xf numFmtId="165" fontId="18" fillId="10" borderId="2" xfId="0" applyNumberFormat="1" applyFont="1" applyFill="1" applyBorder="1" applyAlignment="1">
      <alignment horizontal="center" vertical="center" wrapText="1"/>
    </xf>
    <xf numFmtId="165" fontId="15" fillId="10" borderId="2" xfId="0" applyNumberFormat="1" applyFont="1" applyFill="1" applyBorder="1" applyAlignment="1">
      <alignment horizontal="center" vertical="center" wrapText="1"/>
    </xf>
    <xf numFmtId="0" fontId="16" fillId="10" borderId="2" xfId="0" applyFont="1" applyFill="1" applyBorder="1" applyAlignment="1">
      <alignment horizontal="left" vertical="center" wrapText="1"/>
    </xf>
    <xf numFmtId="0" fontId="23" fillId="9" borderId="3" xfId="0" applyFont="1" applyFill="1" applyBorder="1" applyAlignment="1">
      <alignment horizontal="center" vertical="center"/>
    </xf>
    <xf numFmtId="0" fontId="11" fillId="7" borderId="4" xfId="0" applyFont="1" applyFill="1" applyBorder="1" applyAlignment="1">
      <alignment horizontal="left" vertical="center" wrapText="1"/>
    </xf>
    <xf numFmtId="0" fontId="15" fillId="7" borderId="0" xfId="0" applyFont="1" applyFill="1" applyAlignment="1">
      <alignment horizontal="center" vertical="center"/>
    </xf>
    <xf numFmtId="0" fontId="13" fillId="7" borderId="4" xfId="0" applyFont="1" applyFill="1" applyBorder="1" applyAlignment="1">
      <alignment horizontal="left" vertical="center" wrapText="1"/>
    </xf>
    <xf numFmtId="164" fontId="14" fillId="7" borderId="0" xfId="0" applyNumberFormat="1" applyFont="1" applyFill="1" applyAlignment="1">
      <alignment horizontal="center" vertical="center"/>
    </xf>
    <xf numFmtId="165" fontId="11" fillId="7" borderId="2" xfId="0" applyNumberFormat="1" applyFont="1" applyFill="1" applyBorder="1" applyAlignment="1">
      <alignment horizontal="center" vertical="center"/>
    </xf>
    <xf numFmtId="0" fontId="25" fillId="7" borderId="2" xfId="0" applyFont="1" applyFill="1" applyBorder="1" applyAlignment="1">
      <alignment horizontal="center" vertical="center"/>
    </xf>
    <xf numFmtId="165" fontId="13" fillId="7" borderId="2" xfId="0" applyNumberFormat="1" applyFont="1" applyFill="1" applyBorder="1" applyAlignment="1">
      <alignment horizontal="center" vertical="center"/>
    </xf>
    <xf numFmtId="165" fontId="26" fillId="7" borderId="2" xfId="0" applyNumberFormat="1" applyFont="1" applyFill="1" applyBorder="1" applyAlignment="1">
      <alignment horizontal="center" vertical="center"/>
    </xf>
    <xf numFmtId="0" fontId="0" fillId="7" borderId="0" xfId="0" applyFill="1" applyAlignment="1">
      <alignment horizontal="center" vertical="center"/>
    </xf>
    <xf numFmtId="0" fontId="11" fillId="9" borderId="4" xfId="0" applyFont="1" applyFill="1" applyBorder="1" applyAlignment="1">
      <alignment horizontal="left" vertical="center" wrapText="1"/>
    </xf>
    <xf numFmtId="0" fontId="27" fillId="9" borderId="0" xfId="0" applyFont="1" applyFill="1" applyAlignment="1">
      <alignment horizontal="center" vertical="center"/>
    </xf>
    <xf numFmtId="0" fontId="13" fillId="9" borderId="4" xfId="0" applyFont="1" applyFill="1" applyBorder="1" applyAlignment="1">
      <alignment horizontal="left" vertical="center" wrapText="1"/>
    </xf>
    <xf numFmtId="164" fontId="14" fillId="9" borderId="0" xfId="0" applyNumberFormat="1" applyFont="1" applyFill="1" applyAlignment="1">
      <alignment horizontal="center" vertical="center"/>
    </xf>
    <xf numFmtId="0" fontId="25" fillId="9" borderId="2" xfId="0" applyFont="1" applyFill="1" applyBorder="1" applyAlignment="1">
      <alignment horizontal="center" vertical="center"/>
    </xf>
    <xf numFmtId="165" fontId="11" fillId="9" borderId="2" xfId="0" applyNumberFormat="1" applyFont="1" applyFill="1" applyBorder="1" applyAlignment="1">
      <alignment horizontal="center" vertical="center"/>
    </xf>
    <xf numFmtId="165" fontId="26"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0" fontId="0" fillId="9" borderId="0" xfId="0" applyFill="1" applyAlignment="1">
      <alignment horizontal="center" vertical="center"/>
    </xf>
    <xf numFmtId="165" fontId="13" fillId="9" borderId="2" xfId="0" applyNumberFormat="1" applyFont="1" applyFill="1" applyBorder="1" applyAlignment="1">
      <alignment horizontal="center" vertical="center" wrapText="1"/>
    </xf>
    <xf numFmtId="0" fontId="11" fillId="7" borderId="2" xfId="0" applyFont="1" applyFill="1" applyBorder="1" applyAlignment="1">
      <alignment horizontal="left" vertical="center"/>
    </xf>
    <xf numFmtId="0" fontId="15" fillId="7" borderId="2" xfId="0" applyFont="1" applyFill="1" applyBorder="1" applyAlignment="1">
      <alignment horizontal="center" vertical="center"/>
    </xf>
    <xf numFmtId="166" fontId="11" fillId="7" borderId="2" xfId="0" applyNumberFormat="1" applyFont="1" applyFill="1" applyBorder="1" applyAlignment="1">
      <alignment horizontal="center" vertical="center"/>
    </xf>
    <xf numFmtId="0" fontId="13" fillId="7" borderId="2" xfId="0" applyFont="1" applyFill="1" applyBorder="1" applyAlignment="1">
      <alignment horizontal="center" vertical="center"/>
    </xf>
    <xf numFmtId="164" fontId="31" fillId="16" borderId="2" xfId="0" applyNumberFormat="1" applyFont="1" applyFill="1" applyBorder="1" applyAlignment="1">
      <alignment horizontal="center" vertical="center"/>
    </xf>
    <xf numFmtId="164" fontId="13" fillId="7" borderId="2" xfId="0" applyNumberFormat="1" applyFont="1" applyFill="1" applyBorder="1" applyAlignment="1">
      <alignment horizontal="center" vertical="center"/>
    </xf>
    <xf numFmtId="164" fontId="32" fillId="17" borderId="2" xfId="0" applyNumberFormat="1" applyFont="1" applyFill="1" applyBorder="1" applyAlignment="1">
      <alignment horizontal="center" vertical="center"/>
    </xf>
    <xf numFmtId="164" fontId="26" fillId="7" borderId="2" xfId="0" applyNumberFormat="1" applyFont="1" applyFill="1" applyBorder="1" applyAlignment="1">
      <alignment horizontal="center" vertical="center"/>
    </xf>
    <xf numFmtId="166" fontId="13" fillId="7" borderId="2" xfId="0" applyNumberFormat="1" applyFont="1" applyFill="1" applyBorder="1" applyAlignment="1">
      <alignment horizontal="center" vertical="center"/>
    </xf>
    <xf numFmtId="164" fontId="33" fillId="14" borderId="2" xfId="0" applyNumberFormat="1" applyFont="1" applyFill="1" applyBorder="1" applyAlignment="1">
      <alignment horizontal="center" vertical="center"/>
    </xf>
    <xf numFmtId="0" fontId="11" fillId="9" borderId="2" xfId="0" applyFont="1" applyFill="1" applyBorder="1" applyAlignment="1">
      <alignment horizontal="left" vertical="center"/>
    </xf>
    <xf numFmtId="0" fontId="27" fillId="9" borderId="2" xfId="0" applyFont="1" applyFill="1" applyBorder="1" applyAlignment="1">
      <alignment horizontal="center" vertical="center"/>
    </xf>
    <xf numFmtId="166" fontId="13" fillId="9" borderId="2" xfId="0" applyNumberFormat="1" applyFont="1" applyFill="1" applyBorder="1" applyAlignment="1">
      <alignment horizontal="center" vertical="center"/>
    </xf>
    <xf numFmtId="0" fontId="13" fillId="9" borderId="2" xfId="0" applyFont="1" applyFill="1" applyBorder="1" applyAlignment="1">
      <alignment horizontal="center" vertical="center"/>
    </xf>
    <xf numFmtId="164" fontId="26" fillId="9" borderId="2" xfId="0" applyNumberFormat="1" applyFont="1" applyFill="1" applyBorder="1" applyAlignment="1">
      <alignment horizontal="center" vertical="center"/>
    </xf>
    <xf numFmtId="166" fontId="11" fillId="9" borderId="2" xfId="0" applyNumberFormat="1" applyFont="1" applyFill="1" applyBorder="1" applyAlignment="1">
      <alignment horizontal="center" vertical="center"/>
    </xf>
    <xf numFmtId="164" fontId="13" fillId="9" borderId="2" xfId="0" applyNumberFormat="1" applyFont="1" applyFill="1" applyBorder="1" applyAlignment="1">
      <alignment horizontal="center" vertical="center"/>
    </xf>
    <xf numFmtId="0" fontId="11" fillId="10" borderId="2" xfId="0" applyFont="1" applyFill="1" applyBorder="1" applyAlignment="1">
      <alignment horizontal="left" vertical="center"/>
    </xf>
    <xf numFmtId="0" fontId="34" fillId="10" borderId="2" xfId="0" applyFont="1" applyFill="1" applyBorder="1" applyAlignment="1">
      <alignment horizontal="center" vertical="center"/>
    </xf>
    <xf numFmtId="166" fontId="11" fillId="10" borderId="2" xfId="0" applyNumberFormat="1" applyFont="1" applyFill="1" applyBorder="1" applyAlignment="1">
      <alignment horizontal="center" vertical="center"/>
    </xf>
    <xf numFmtId="0" fontId="13" fillId="10" borderId="2" xfId="0" applyFont="1" applyFill="1" applyBorder="1" applyAlignment="1">
      <alignment horizontal="center" vertical="center"/>
    </xf>
    <xf numFmtId="164" fontId="13" fillId="10" borderId="2" xfId="0" applyNumberFormat="1" applyFont="1" applyFill="1" applyBorder="1" applyAlignment="1">
      <alignment horizontal="center" vertical="center"/>
    </xf>
    <xf numFmtId="166" fontId="13" fillId="10" borderId="2" xfId="0" applyNumberFormat="1" applyFont="1" applyFill="1" applyBorder="1" applyAlignment="1">
      <alignment horizontal="center" vertical="center"/>
    </xf>
    <xf numFmtId="164" fontId="26" fillId="10" borderId="2" xfId="0" applyNumberFormat="1" applyFont="1" applyFill="1" applyBorder="1" applyAlignment="1">
      <alignment horizontal="center" vertical="center"/>
    </xf>
    <xf numFmtId="166" fontId="35" fillId="18" borderId="2" xfId="0" applyNumberFormat="1" applyFont="1" applyFill="1" applyBorder="1" applyAlignment="1">
      <alignment horizontal="center" vertical="center"/>
    </xf>
    <xf numFmtId="166" fontId="35" fillId="19" borderId="2" xfId="0" applyNumberFormat="1" applyFont="1" applyFill="1" applyBorder="1" applyAlignment="1">
      <alignment horizontal="center" vertical="center"/>
    </xf>
    <xf numFmtId="166" fontId="36" fillId="20" borderId="2" xfId="0" applyNumberFormat="1" applyFont="1" applyFill="1" applyBorder="1" applyAlignment="1">
      <alignment horizontal="center" vertical="center"/>
    </xf>
    <xf numFmtId="166" fontId="37" fillId="21" borderId="2" xfId="0" applyNumberFormat="1" applyFont="1" applyFill="1" applyBorder="1" applyAlignment="1">
      <alignment horizontal="center" vertical="center"/>
    </xf>
    <xf numFmtId="166" fontId="38" fillId="22" borderId="2" xfId="0" applyNumberFormat="1" applyFont="1" applyFill="1" applyBorder="1" applyAlignment="1">
      <alignment horizontal="center" vertical="center"/>
    </xf>
    <xf numFmtId="0" fontId="9" fillId="19" borderId="4" xfId="0" applyFont="1" applyFill="1" applyBorder="1" applyAlignment="1">
      <alignment horizontal="center" vertical="center"/>
    </xf>
    <xf numFmtId="0" fontId="9" fillId="18" borderId="4" xfId="0" applyFont="1" applyFill="1" applyBorder="1" applyAlignment="1">
      <alignment horizontal="center" vertical="center"/>
    </xf>
    <xf numFmtId="0" fontId="39" fillId="22" borderId="4" xfId="0" applyFont="1" applyFill="1" applyBorder="1" applyAlignment="1">
      <alignment horizontal="center" vertical="center"/>
    </xf>
    <xf numFmtId="0" fontId="40" fillId="20" borderId="4" xfId="0" applyFont="1" applyFill="1" applyBorder="1" applyAlignment="1">
      <alignment horizontal="center" vertical="center"/>
    </xf>
    <xf numFmtId="0" fontId="41" fillId="21" borderId="4" xfId="0" applyFont="1" applyFill="1" applyBorder="1" applyAlignment="1">
      <alignment horizontal="center" vertical="center"/>
    </xf>
    <xf numFmtId="0" fontId="13" fillId="23" borderId="2" xfId="0" applyFont="1" applyFill="1" applyBorder="1" applyAlignment="1">
      <alignment horizontal="left" vertical="center" wrapText="1"/>
    </xf>
    <xf numFmtId="0" fontId="13" fillId="7" borderId="2" xfId="0" applyFont="1" applyFill="1" applyBorder="1"/>
    <xf numFmtId="0" fontId="33" fillId="14" borderId="2" xfId="0" applyFont="1" applyFill="1" applyBorder="1"/>
    <xf numFmtId="0" fontId="26" fillId="7" borderId="2" xfId="0" applyFont="1" applyFill="1" applyBorder="1"/>
    <xf numFmtId="0" fontId="13" fillId="9" borderId="2" xfId="0" applyFont="1" applyFill="1" applyBorder="1"/>
    <xf numFmtId="0" fontId="31" fillId="16" borderId="2" xfId="0" applyFont="1" applyFill="1" applyBorder="1"/>
    <xf numFmtId="0" fontId="26" fillId="9" borderId="2" xfId="0" applyFont="1" applyFill="1" applyBorder="1"/>
    <xf numFmtId="0" fontId="13" fillId="10" borderId="2" xfId="0" applyFont="1" applyFill="1" applyBorder="1"/>
    <xf numFmtId="0" fontId="26" fillId="10" borderId="2" xfId="0" applyFont="1" applyFill="1" applyBorder="1"/>
    <xf numFmtId="0" fontId="11" fillId="24" borderId="0" xfId="0" applyFont="1" applyFill="1"/>
    <xf numFmtId="0" fontId="11" fillId="24" borderId="2" xfId="0" applyFont="1" applyFill="1" applyBorder="1"/>
    <xf numFmtId="0" fontId="10" fillId="24" borderId="0" xfId="0" applyFont="1" applyFill="1"/>
    <xf numFmtId="0" fontId="11" fillId="24" borderId="2" xfId="0" applyFont="1" applyFill="1" applyBorder="1" applyAlignment="1">
      <alignment horizontal="left" vertical="center" wrapText="1"/>
    </xf>
    <xf numFmtId="0" fontId="11" fillId="24" borderId="2" xfId="0" applyFont="1" applyFill="1" applyBorder="1" applyAlignment="1">
      <alignment horizontal="center" vertical="center" wrapText="1"/>
    </xf>
    <xf numFmtId="10" fontId="43" fillId="24" borderId="2" xfId="1" applyNumberFormat="1" applyFont="1" applyFill="1" applyBorder="1" applyAlignment="1">
      <alignment horizontal="center" vertical="center" wrapText="1"/>
    </xf>
    <xf numFmtId="167" fontId="11" fillId="24" borderId="2" xfId="0" applyNumberFormat="1" applyFont="1" applyFill="1" applyBorder="1" applyAlignment="1">
      <alignment horizontal="center" vertical="center" wrapText="1"/>
    </xf>
    <xf numFmtId="164" fontId="43" fillId="24" borderId="2" xfId="1" applyNumberFormat="1" applyFont="1" applyFill="1" applyBorder="1" applyAlignment="1">
      <alignment horizontal="center" vertical="center" wrapText="1"/>
    </xf>
    <xf numFmtId="0" fontId="11" fillId="24" borderId="0" xfId="0" applyFont="1" applyFill="1" applyAlignment="1">
      <alignment horizontal="left" vertical="center" wrapText="1"/>
    </xf>
    <xf numFmtId="0" fontId="11" fillId="24" borderId="0" xfId="0" applyFont="1" applyFill="1" applyAlignment="1">
      <alignment horizontal="center" vertical="center" wrapText="1"/>
    </xf>
    <xf numFmtId="164" fontId="43" fillId="24" borderId="0" xfId="1" applyNumberFormat="1" applyFont="1" applyFill="1" applyBorder="1" applyAlignment="1">
      <alignment horizontal="center" vertical="center" wrapText="1"/>
    </xf>
    <xf numFmtId="0" fontId="11" fillId="24" borderId="5" xfId="0" applyFont="1" applyFill="1" applyBorder="1" applyAlignment="1">
      <alignment horizontal="left" vertical="center" wrapText="1"/>
    </xf>
    <xf numFmtId="0" fontId="0" fillId="0" borderId="0" xfId="0" applyAlignment="1">
      <alignment vertical="center" wrapText="1"/>
    </xf>
    <xf numFmtId="0" fontId="10" fillId="3" borderId="0" xfId="0" applyFont="1" applyFill="1" applyAlignment="1">
      <alignment horizontal="left" vertical="center"/>
    </xf>
    <xf numFmtId="0" fontId="0" fillId="0" borderId="0" xfId="0"/>
    <xf numFmtId="0" fontId="8" fillId="4" borderId="0" xfId="0" applyFont="1" applyFill="1" applyAlignment="1">
      <alignment horizontal="center" vertical="center"/>
    </xf>
    <xf numFmtId="0" fontId="7" fillId="3" borderId="0" xfId="0" applyFont="1" applyFill="1" applyAlignment="1">
      <alignment horizontal="center" vertical="center"/>
    </xf>
    <xf numFmtId="0" fontId="10" fillId="6" borderId="0" xfId="0" applyFont="1" applyFill="1" applyAlignment="1">
      <alignment horizontal="left" vertical="center"/>
    </xf>
    <xf numFmtId="0" fontId="10" fillId="8" borderId="0" xfId="0" applyFont="1" applyFill="1" applyAlignment="1">
      <alignment horizontal="left" vertical="center"/>
    </xf>
    <xf numFmtId="0" fontId="28" fillId="12" borderId="0" xfId="0" applyFont="1" applyFill="1" applyAlignment="1">
      <alignment vertical="center" wrapText="1"/>
    </xf>
    <xf numFmtId="0" fontId="24" fillId="0" borderId="0" xfId="0" applyFont="1" applyAlignment="1">
      <alignment horizontal="left" vertical="center"/>
    </xf>
    <xf numFmtId="0" fontId="22" fillId="11" borderId="0" xfId="0" applyFont="1" applyFill="1" applyAlignment="1">
      <alignment horizontal="center" vertical="center"/>
    </xf>
    <xf numFmtId="0" fontId="21" fillId="4" borderId="0" xfId="0" applyFont="1" applyFill="1" applyAlignment="1">
      <alignment horizontal="center" vertical="center"/>
    </xf>
    <xf numFmtId="0" fontId="10" fillId="8" borderId="0" xfId="0" applyFont="1" applyFill="1" applyAlignment="1">
      <alignment horizontal="left" vertical="center" wrapText="1"/>
    </xf>
    <xf numFmtId="0" fontId="29" fillId="13" borderId="0" xfId="0" applyFont="1" applyFill="1" applyAlignment="1">
      <alignment horizontal="center" vertical="center"/>
    </xf>
    <xf numFmtId="0" fontId="10" fillId="6" borderId="0" xfId="0" applyFont="1" applyFill="1" applyAlignment="1">
      <alignment horizontal="left" vertical="center" wrapText="1"/>
    </xf>
    <xf numFmtId="0" fontId="29" fillId="14" borderId="0" xfId="0" applyFont="1" applyFill="1" applyAlignment="1">
      <alignment horizontal="center" vertical="center"/>
    </xf>
    <xf numFmtId="0" fontId="29" fillId="15" borderId="0" xfId="0" applyFont="1" applyFill="1" applyAlignment="1">
      <alignment horizontal="center" vertical="center"/>
    </xf>
    <xf numFmtId="0" fontId="29" fillId="16" borderId="0" xfId="0" applyFont="1" applyFill="1" applyAlignment="1">
      <alignment horizontal="center" vertical="center"/>
    </xf>
    <xf numFmtId="0" fontId="21" fillId="0" borderId="0" xfId="0" applyFont="1" applyAlignment="1">
      <alignment horizontal="center" vertical="center"/>
    </xf>
    <xf numFmtId="0" fontId="30" fillId="3" borderId="0" xfId="0" applyFont="1" applyFill="1" applyAlignment="1">
      <alignment horizontal="center" vertical="center"/>
    </xf>
    <xf numFmtId="0" fontId="11" fillId="0" borderId="0" xfId="0" applyFon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E53935"/>
      <rgbColor rgb="FF00FF00"/>
      <rgbColor rgb="FF0000FF"/>
      <rgbColor rgb="FFFFFDE7"/>
      <rgbColor rgb="FFFF00FF"/>
      <rgbColor rgb="FF00FFFF"/>
      <rgbColor rgb="FF5D4037"/>
      <rgbColor rgb="FF1B5E20"/>
      <rgbColor rgb="FF1C2B3A"/>
      <rgbColor rgb="FF616161"/>
      <rgbColor rgb="FF7B1FA2"/>
      <rgbColor rgb="FF00838F"/>
      <rgbColor rgb="FFBDBDBD"/>
      <rgbColor rgb="FF607D8B"/>
      <rgbColor rgb="FFB0C4DE"/>
      <rgbColor rgb="FFAD1457"/>
      <rgbColor rgb="FFFFF9C4"/>
      <rgbColor rgb="FFE3F2FD"/>
      <rgbColor rgb="FF4E342E"/>
      <rgbColor rgb="FFFAFAFA"/>
      <rgbColor rgb="FF1565C0"/>
      <rgbColor rgb="FFCFD8DC"/>
      <rgbColor rgb="FF1A4731"/>
      <rgbColor rgb="FFFF00FF"/>
      <rgbColor rgb="FFE8F5E9"/>
      <rgbColor rgb="FF00FFFF"/>
      <rgbColor rgb="FF2E4A6B"/>
      <rgbColor rgb="FF800000"/>
      <rgbColor rgb="FF33691E"/>
      <rgbColor rgb="FF0000FF"/>
      <rgbColor rgb="FF00CCFF"/>
      <rgbColor rgb="FFE3F0FF"/>
      <rgbColor rgb="FFDCEDC8"/>
      <rgbColor rgb="FFFFE0B2"/>
      <rgbColor rgb="FF90CAF9"/>
      <rgbColor rgb="FFC8E6C9"/>
      <rgbColor rgb="FFBBDEFB"/>
      <rgbColor rgb="FFFFCCBC"/>
      <rgbColor rgb="FF0D47A1"/>
      <rgbColor rgb="FF42A5F5"/>
      <rgbColor rgb="FF99CC00"/>
      <rgbColor rgb="FFF5F5F5"/>
      <rgbColor rgb="FFFF9900"/>
      <rgbColor rgb="FFE65100"/>
      <rgbColor rgb="FF546E7A"/>
      <rgbColor rgb="FF9E9E9E"/>
      <rgbColor rgb="FF1F3A5F"/>
      <rgbColor rgb="FF2E7D32"/>
      <rgbColor rgb="FF212121"/>
      <rgbColor rgb="FF4A3500"/>
      <rgbColor rgb="FFBF360C"/>
      <rgbColor rgb="FFC62828"/>
      <rgbColor rgb="FF1A237E"/>
      <rgbColor rgb="FF24344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3935"/>
  </sheetPr>
  <dimension ref="B2:B23"/>
  <sheetViews>
    <sheetView zoomScaleNormal="100" workbookViewId="0"/>
  </sheetViews>
  <sheetFormatPr defaultColWidth="8.7109375" defaultRowHeight="15" x14ac:dyDescent="0.25"/>
  <cols>
    <col min="1" max="1" width="3" customWidth="1"/>
    <col min="2" max="2" width="90" customWidth="1"/>
  </cols>
  <sheetData>
    <row r="2" spans="2:2" ht="39.75" customHeight="1" x14ac:dyDescent="0.25">
      <c r="B2" s="1" t="s">
        <v>507</v>
      </c>
    </row>
    <row r="3" spans="2:2" x14ac:dyDescent="0.25">
      <c r="B3" s="2" t="s">
        <v>508</v>
      </c>
    </row>
    <row r="5" spans="2:2" ht="15" customHeight="1" x14ac:dyDescent="0.25"/>
    <row r="6" spans="2:2" ht="31.5" customHeight="1" x14ac:dyDescent="0.25">
      <c r="B6" s="3" t="s">
        <v>509</v>
      </c>
    </row>
    <row r="7" spans="2:2" ht="15" customHeight="1" x14ac:dyDescent="0.25"/>
    <row r="8" spans="2:2" ht="24" customHeight="1" x14ac:dyDescent="0.25">
      <c r="B8" s="4" t="s">
        <v>510</v>
      </c>
    </row>
    <row r="9" spans="2:2" ht="60" customHeight="1" x14ac:dyDescent="0.25">
      <c r="B9" s="5" t="s">
        <v>511</v>
      </c>
    </row>
    <row r="10" spans="2:2" ht="15" customHeight="1" x14ac:dyDescent="0.25"/>
    <row r="11" spans="2:2" ht="24" customHeight="1" x14ac:dyDescent="0.25">
      <c r="B11" s="4" t="s">
        <v>512</v>
      </c>
    </row>
    <row r="12" spans="2:2" ht="60" customHeight="1" x14ac:dyDescent="0.25">
      <c r="B12" s="5" t="s">
        <v>513</v>
      </c>
    </row>
    <row r="13" spans="2:2" ht="15" customHeight="1" x14ac:dyDescent="0.25"/>
    <row r="14" spans="2:2" ht="24" customHeight="1" x14ac:dyDescent="0.25">
      <c r="B14" s="4" t="s">
        <v>514</v>
      </c>
    </row>
    <row r="15" spans="2:2" ht="60" customHeight="1" x14ac:dyDescent="0.25">
      <c r="B15" s="5" t="s">
        <v>515</v>
      </c>
    </row>
    <row r="16" spans="2:2" ht="15" customHeight="1" x14ac:dyDescent="0.25"/>
    <row r="17" spans="2:2" ht="24" customHeight="1" x14ac:dyDescent="0.25">
      <c r="B17" s="4" t="s">
        <v>516</v>
      </c>
    </row>
    <row r="18" spans="2:2" ht="60" customHeight="1" x14ac:dyDescent="0.25">
      <c r="B18" s="5" t="s">
        <v>517</v>
      </c>
    </row>
    <row r="19" spans="2:2" ht="15" customHeight="1" x14ac:dyDescent="0.25"/>
    <row r="20" spans="2:2" ht="24" customHeight="1" x14ac:dyDescent="0.25">
      <c r="B20" s="4" t="s">
        <v>518</v>
      </c>
    </row>
    <row r="21" spans="2:2" ht="60" customHeight="1" x14ac:dyDescent="0.25">
      <c r="B21" s="5" t="s">
        <v>519</v>
      </c>
    </row>
    <row r="22" spans="2:2" ht="15" customHeight="1" x14ac:dyDescent="0.25"/>
    <row r="23" spans="2:2" ht="27.75" customHeight="1" x14ac:dyDescent="0.25">
      <c r="B23" s="6" t="s">
        <v>520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65C0"/>
  </sheetPr>
  <dimension ref="A1:O113"/>
  <sheetViews>
    <sheetView tabSelected="1" zoomScale="83" zoomScaleNormal="100" workbookViewId="0">
      <pane xSplit="1" ySplit="3" topLeftCell="B15" activePane="bottomRight" state="frozen"/>
      <selection pane="topRight" activeCell="B1" sqref="B1"/>
      <selection pane="bottomLeft" activeCell="A4" sqref="A4"/>
      <selection pane="bottomRight" activeCell="M20" sqref="M20"/>
    </sheetView>
  </sheetViews>
  <sheetFormatPr defaultColWidth="8.7109375" defaultRowHeight="15" x14ac:dyDescent="0.25"/>
  <cols>
    <col min="1" max="1" width="53.5703125" customWidth="1"/>
    <col min="2" max="2" width="12.140625" bestFit="1" customWidth="1"/>
    <col min="3" max="3" width="16" customWidth="1"/>
    <col min="4" max="4" width="15.7109375" bestFit="1" customWidth="1"/>
    <col min="5" max="5" width="92" bestFit="1" customWidth="1"/>
    <col min="6" max="6" width="18.140625" bestFit="1" customWidth="1"/>
    <col min="7" max="7" width="11.28515625" bestFit="1" customWidth="1"/>
    <col min="8" max="8" width="12.7109375" bestFit="1" customWidth="1"/>
    <col min="9" max="10" width="14.28515625" bestFit="1" customWidth="1"/>
    <col min="11" max="11" width="19.5703125" bestFit="1" customWidth="1"/>
    <col min="12" max="12" width="32.85546875" bestFit="1" customWidth="1"/>
    <col min="13" max="13" width="71.28515625" bestFit="1" customWidth="1"/>
  </cols>
  <sheetData>
    <row r="1" spans="1:15" ht="18" customHeight="1" x14ac:dyDescent="0.25">
      <c r="A1" s="114" t="s">
        <v>0</v>
      </c>
      <c r="B1" s="112"/>
      <c r="C1" s="112"/>
      <c r="D1" s="112"/>
      <c r="E1" s="112"/>
      <c r="F1" s="112"/>
      <c r="G1" s="112"/>
      <c r="H1" s="112"/>
      <c r="I1" s="112"/>
      <c r="J1" s="112"/>
      <c r="K1" s="112"/>
      <c r="L1" s="112"/>
      <c r="M1" s="112"/>
      <c r="N1" s="112"/>
      <c r="O1" s="112"/>
    </row>
    <row r="2" spans="1:15" x14ac:dyDescent="0.25">
      <c r="A2" s="113" t="s">
        <v>1</v>
      </c>
      <c r="B2" s="112"/>
      <c r="C2" s="112"/>
      <c r="D2" s="112"/>
      <c r="E2" s="112"/>
      <c r="F2" s="112"/>
      <c r="G2" s="112"/>
      <c r="H2" s="112"/>
      <c r="I2" s="112"/>
      <c r="J2" s="112"/>
      <c r="K2" s="112"/>
      <c r="L2" s="112"/>
      <c r="M2" s="112"/>
      <c r="N2" s="112"/>
      <c r="O2" s="112"/>
    </row>
    <row r="3" spans="1:15" ht="25.5" customHeight="1" x14ac:dyDescent="0.25">
      <c r="A3" s="7" t="s">
        <v>2</v>
      </c>
      <c r="B3" s="7" t="s">
        <v>3</v>
      </c>
      <c r="C3" s="7" t="s">
        <v>4</v>
      </c>
      <c r="D3" s="7" t="s">
        <v>5</v>
      </c>
      <c r="E3" s="7" t="s">
        <v>6</v>
      </c>
      <c r="F3" s="7" t="s">
        <v>7</v>
      </c>
      <c r="G3" s="7" t="s">
        <v>8</v>
      </c>
      <c r="H3" s="7" t="s">
        <v>9</v>
      </c>
      <c r="I3" s="7" t="s">
        <v>10</v>
      </c>
      <c r="J3" s="7" t="s">
        <v>11</v>
      </c>
      <c r="K3" s="7" t="s">
        <v>12</v>
      </c>
      <c r="L3" s="7" t="s">
        <v>13</v>
      </c>
      <c r="M3" s="7" t="s">
        <v>14</v>
      </c>
    </row>
    <row r="4" spans="1:15" x14ac:dyDescent="0.25">
      <c r="A4" s="115" t="s">
        <v>15</v>
      </c>
      <c r="B4" s="112"/>
      <c r="C4" s="112"/>
      <c r="D4" s="112"/>
      <c r="E4" s="112"/>
      <c r="F4" s="112"/>
      <c r="G4" s="112"/>
      <c r="H4" s="112"/>
      <c r="I4" s="112"/>
      <c r="J4" s="112"/>
      <c r="K4" s="112"/>
      <c r="L4" s="112"/>
      <c r="M4" s="112"/>
      <c r="N4" s="112"/>
      <c r="O4" s="112"/>
    </row>
    <row r="5" spans="1:15" ht="38.25" customHeight="1" x14ac:dyDescent="0.25">
      <c r="A5" s="8" t="s">
        <v>16</v>
      </c>
      <c r="B5" s="9" t="s">
        <v>17</v>
      </c>
      <c r="C5" s="10" t="s">
        <v>18</v>
      </c>
      <c r="D5" s="11" t="s">
        <v>19</v>
      </c>
      <c r="E5" s="10" t="s">
        <v>20</v>
      </c>
      <c r="F5" s="11" t="s">
        <v>21</v>
      </c>
      <c r="G5" s="12">
        <v>0.31664999999999999</v>
      </c>
      <c r="H5" s="13">
        <v>158.32499999999999</v>
      </c>
      <c r="I5" s="13">
        <v>316.64999999999998</v>
      </c>
      <c r="J5" s="13">
        <v>633.29999999999995</v>
      </c>
      <c r="K5" s="10" t="s">
        <v>22</v>
      </c>
      <c r="L5" s="10" t="s">
        <v>23</v>
      </c>
      <c r="M5" s="14" t="s">
        <v>24</v>
      </c>
    </row>
    <row r="6" spans="1:15" ht="25.5" customHeight="1" x14ac:dyDescent="0.25">
      <c r="A6" s="8" t="s">
        <v>32</v>
      </c>
      <c r="B6" s="9" t="s">
        <v>17</v>
      </c>
      <c r="C6" s="10" t="s">
        <v>894</v>
      </c>
      <c r="D6" s="11" t="s">
        <v>895</v>
      </c>
      <c r="E6" s="10" t="s">
        <v>35</v>
      </c>
      <c r="F6" s="11" t="s">
        <v>36</v>
      </c>
      <c r="G6" s="12">
        <v>0.5</v>
      </c>
      <c r="H6" s="13">
        <v>250</v>
      </c>
      <c r="I6" s="13">
        <v>500</v>
      </c>
      <c r="J6" s="13">
        <v>1000</v>
      </c>
      <c r="K6" s="10" t="s">
        <v>37</v>
      </c>
      <c r="L6" s="10"/>
      <c r="M6" s="14"/>
    </row>
    <row r="7" spans="1:15" ht="38.25" customHeight="1" x14ac:dyDescent="0.25">
      <c r="A7" s="8" t="s">
        <v>39</v>
      </c>
      <c r="B7" s="9" t="s">
        <v>17</v>
      </c>
      <c r="C7" s="10" t="s">
        <v>40</v>
      </c>
      <c r="D7" s="11" t="s">
        <v>41</v>
      </c>
      <c r="E7" s="10" t="s">
        <v>897</v>
      </c>
      <c r="F7" s="11" t="s">
        <v>42</v>
      </c>
      <c r="G7" s="12">
        <v>0.46755000000000002</v>
      </c>
      <c r="H7" s="13">
        <v>233.77500000000001</v>
      </c>
      <c r="I7" s="13">
        <v>467.55</v>
      </c>
      <c r="J7" s="13">
        <v>935.1</v>
      </c>
      <c r="K7" s="10" t="s">
        <v>43</v>
      </c>
      <c r="L7" s="10"/>
      <c r="M7" s="14" t="s">
        <v>896</v>
      </c>
    </row>
    <row r="8" spans="1:15" ht="51" customHeight="1" x14ac:dyDescent="0.25">
      <c r="A8" s="8" t="s">
        <v>44</v>
      </c>
      <c r="B8" s="9" t="s">
        <v>17</v>
      </c>
      <c r="C8" s="10" t="s">
        <v>45</v>
      </c>
      <c r="D8" s="11" t="s">
        <v>46</v>
      </c>
      <c r="E8" s="10" t="s">
        <v>898</v>
      </c>
      <c r="F8" s="11" t="s">
        <v>47</v>
      </c>
      <c r="G8" s="12">
        <v>0.19395999999999999</v>
      </c>
      <c r="H8" s="16">
        <v>96.98</v>
      </c>
      <c r="I8" s="13">
        <v>193.96</v>
      </c>
      <c r="J8" s="13">
        <v>387.92</v>
      </c>
      <c r="K8" s="10" t="s">
        <v>48</v>
      </c>
      <c r="L8" s="10"/>
      <c r="M8" s="14" t="s">
        <v>899</v>
      </c>
    </row>
    <row r="9" spans="1:15" ht="25.5" customHeight="1" x14ac:dyDescent="0.25">
      <c r="A9" s="8" t="s">
        <v>49</v>
      </c>
      <c r="B9" s="9" t="s">
        <v>17</v>
      </c>
      <c r="C9" s="10" t="s">
        <v>45</v>
      </c>
      <c r="D9" s="11" t="s">
        <v>50</v>
      </c>
      <c r="E9" s="10" t="s">
        <v>51</v>
      </c>
      <c r="F9" s="11" t="s">
        <v>52</v>
      </c>
      <c r="G9" s="12">
        <v>0.21329000000000001</v>
      </c>
      <c r="H9" s="13">
        <v>106.645</v>
      </c>
      <c r="I9" s="13">
        <v>213.29</v>
      </c>
      <c r="J9" s="13">
        <v>426.58</v>
      </c>
      <c r="K9" s="10" t="s">
        <v>53</v>
      </c>
      <c r="L9" s="10"/>
      <c r="M9" s="14"/>
    </row>
    <row r="10" spans="1:15" ht="38.25" customHeight="1" x14ac:dyDescent="0.25">
      <c r="A10" s="8" t="s">
        <v>54</v>
      </c>
      <c r="B10" s="9" t="s">
        <v>17</v>
      </c>
      <c r="C10" s="10" t="s">
        <v>45</v>
      </c>
      <c r="D10" s="11" t="s">
        <v>55</v>
      </c>
      <c r="E10" s="10" t="s">
        <v>56</v>
      </c>
      <c r="F10" s="11" t="s">
        <v>57</v>
      </c>
      <c r="G10" s="12">
        <v>0.04</v>
      </c>
      <c r="H10" s="15">
        <v>20</v>
      </c>
      <c r="I10" s="15">
        <v>40</v>
      </c>
      <c r="J10" s="16">
        <v>80</v>
      </c>
      <c r="K10" s="10" t="s">
        <v>58</v>
      </c>
      <c r="L10" s="10"/>
      <c r="M10" s="14"/>
    </row>
    <row r="11" spans="1:15" ht="63.75" customHeight="1" x14ac:dyDescent="0.25">
      <c r="A11" s="8" t="s">
        <v>59</v>
      </c>
      <c r="B11" s="9" t="s">
        <v>17</v>
      </c>
      <c r="C11" s="10" t="s">
        <v>892</v>
      </c>
      <c r="D11" s="11" t="s">
        <v>900</v>
      </c>
      <c r="E11" s="10" t="s">
        <v>901</v>
      </c>
      <c r="F11" s="11" t="s">
        <v>62</v>
      </c>
      <c r="G11" s="12">
        <v>0.30569000000000002</v>
      </c>
      <c r="H11" s="13">
        <v>152.845</v>
      </c>
      <c r="I11" s="13">
        <v>305.69</v>
      </c>
      <c r="J11" s="13">
        <v>611.38</v>
      </c>
      <c r="K11" s="10" t="s">
        <v>43</v>
      </c>
      <c r="L11" s="10"/>
      <c r="M11" s="14" t="s">
        <v>63</v>
      </c>
    </row>
    <row r="12" spans="1:15" ht="51" customHeight="1" x14ac:dyDescent="0.25">
      <c r="A12" s="8" t="s">
        <v>211</v>
      </c>
      <c r="B12" s="9" t="s">
        <v>60</v>
      </c>
      <c r="C12" s="10" t="s">
        <v>45</v>
      </c>
      <c r="D12" s="11" t="s">
        <v>909</v>
      </c>
      <c r="E12" s="10" t="s">
        <v>907</v>
      </c>
      <c r="F12" s="11" t="s">
        <v>214</v>
      </c>
      <c r="G12" s="12">
        <v>0.23807</v>
      </c>
      <c r="H12" s="13">
        <v>119.035</v>
      </c>
      <c r="I12" s="13">
        <v>238.07</v>
      </c>
      <c r="J12" s="13">
        <v>476.14</v>
      </c>
      <c r="K12" s="10" t="s">
        <v>215</v>
      </c>
      <c r="L12" s="10" t="s">
        <v>910</v>
      </c>
      <c r="M12" s="14"/>
    </row>
    <row r="13" spans="1:15" ht="51" customHeight="1" x14ac:dyDescent="0.25">
      <c r="A13" s="8" t="s">
        <v>64</v>
      </c>
      <c r="B13" s="9" t="s">
        <v>17</v>
      </c>
      <c r="C13" s="10" t="s">
        <v>45</v>
      </c>
      <c r="D13" s="11" t="s">
        <v>65</v>
      </c>
      <c r="E13" s="10" t="s">
        <v>908</v>
      </c>
      <c r="F13" s="11" t="s">
        <v>66</v>
      </c>
      <c r="G13" s="12">
        <v>0.26</v>
      </c>
      <c r="H13" s="13">
        <v>130</v>
      </c>
      <c r="I13" s="13">
        <v>260</v>
      </c>
      <c r="J13" s="13">
        <v>520</v>
      </c>
      <c r="K13" s="10" t="s">
        <v>67</v>
      </c>
      <c r="L13" s="10"/>
      <c r="M13" s="14"/>
    </row>
    <row r="14" spans="1:15" ht="51" customHeight="1" x14ac:dyDescent="0.25">
      <c r="A14" s="8" t="s">
        <v>68</v>
      </c>
      <c r="B14" s="9" t="s">
        <v>17</v>
      </c>
      <c r="C14" s="10" t="s">
        <v>45</v>
      </c>
      <c r="D14" s="11" t="s">
        <v>69</v>
      </c>
      <c r="E14" s="10" t="s">
        <v>70</v>
      </c>
      <c r="F14" s="11" t="s">
        <v>71</v>
      </c>
      <c r="G14" s="12">
        <v>0.3</v>
      </c>
      <c r="H14" s="13">
        <v>150</v>
      </c>
      <c r="I14" s="13">
        <v>300</v>
      </c>
      <c r="J14" s="13">
        <v>600</v>
      </c>
      <c r="K14" s="10" t="s">
        <v>72</v>
      </c>
      <c r="L14" s="10"/>
      <c r="M14" s="14"/>
    </row>
    <row r="15" spans="1:15" ht="76.5" customHeight="1" x14ac:dyDescent="0.25">
      <c r="A15" s="8" t="s">
        <v>73</v>
      </c>
      <c r="B15" s="9" t="s">
        <v>17</v>
      </c>
      <c r="C15" s="10" t="s">
        <v>74</v>
      </c>
      <c r="D15" s="11" t="s">
        <v>75</v>
      </c>
      <c r="E15" s="10" t="s">
        <v>76</v>
      </c>
      <c r="F15" s="11" t="s">
        <v>77</v>
      </c>
      <c r="G15" s="12">
        <v>0.78681999999999996</v>
      </c>
      <c r="H15" s="13">
        <v>393.41</v>
      </c>
      <c r="I15" s="13">
        <v>786.82</v>
      </c>
      <c r="J15" s="13">
        <v>1573.64</v>
      </c>
      <c r="K15" s="10" t="s">
        <v>43</v>
      </c>
      <c r="L15" s="10" t="s">
        <v>38</v>
      </c>
      <c r="M15" s="14" t="s">
        <v>78</v>
      </c>
    </row>
    <row r="16" spans="1:15" ht="51" customHeight="1" x14ac:dyDescent="0.25">
      <c r="A16" s="8" t="s">
        <v>79</v>
      </c>
      <c r="B16" s="9" t="s">
        <v>17</v>
      </c>
      <c r="C16" s="10" t="s">
        <v>80</v>
      </c>
      <c r="D16" s="11" t="s">
        <v>81</v>
      </c>
      <c r="E16" s="10" t="s">
        <v>82</v>
      </c>
      <c r="F16" s="11" t="s">
        <v>83</v>
      </c>
      <c r="G16" s="12">
        <v>9.5699999999999993E-2</v>
      </c>
      <c r="H16" s="13">
        <v>47.85</v>
      </c>
      <c r="I16" s="13">
        <v>95.7</v>
      </c>
      <c r="J16" s="13">
        <v>191.4</v>
      </c>
      <c r="K16" s="10" t="s">
        <v>84</v>
      </c>
      <c r="L16" s="10"/>
      <c r="M16" s="14"/>
    </row>
    <row r="17" spans="1:15" ht="51" customHeight="1" x14ac:dyDescent="0.25">
      <c r="A17" s="8" t="s">
        <v>85</v>
      </c>
      <c r="B17" s="9" t="s">
        <v>17</v>
      </c>
      <c r="C17" s="10" t="s">
        <v>33</v>
      </c>
      <c r="D17" s="11" t="s">
        <v>86</v>
      </c>
      <c r="E17" s="10" t="s">
        <v>87</v>
      </c>
      <c r="F17" s="11" t="s">
        <v>88</v>
      </c>
      <c r="G17" s="12">
        <v>0.40350000000000003</v>
      </c>
      <c r="H17" s="13">
        <v>201.75</v>
      </c>
      <c r="I17" s="13">
        <v>403.5</v>
      </c>
      <c r="J17" s="13">
        <v>807</v>
      </c>
      <c r="K17" s="10" t="s">
        <v>89</v>
      </c>
      <c r="L17" s="10"/>
      <c r="M17" s="14"/>
    </row>
    <row r="18" spans="1:15" ht="25.5" customHeight="1" x14ac:dyDescent="0.25">
      <c r="A18" s="8" t="s">
        <v>90</v>
      </c>
      <c r="B18" s="9" t="s">
        <v>17</v>
      </c>
      <c r="C18" s="10" t="s">
        <v>80</v>
      </c>
      <c r="D18" s="11" t="s">
        <v>50</v>
      </c>
      <c r="E18" s="10" t="s">
        <v>91</v>
      </c>
      <c r="F18" s="11" t="s">
        <v>52</v>
      </c>
      <c r="G18" s="12">
        <v>0.21299999999999999</v>
      </c>
      <c r="H18" s="13">
        <v>106.5</v>
      </c>
      <c r="I18" s="13">
        <v>213</v>
      </c>
      <c r="J18" s="13">
        <v>426</v>
      </c>
      <c r="K18" s="10" t="s">
        <v>92</v>
      </c>
      <c r="L18" s="10"/>
      <c r="M18" s="14"/>
    </row>
    <row r="19" spans="1:15" ht="25.5" customHeight="1" x14ac:dyDescent="0.25">
      <c r="A19" s="8" t="s">
        <v>93</v>
      </c>
      <c r="B19" s="9" t="s">
        <v>17</v>
      </c>
      <c r="C19" s="10" t="s">
        <v>94</v>
      </c>
      <c r="D19" s="11" t="s">
        <v>95</v>
      </c>
      <c r="E19" s="10" t="s">
        <v>96</v>
      </c>
      <c r="F19" s="11" t="s">
        <v>97</v>
      </c>
      <c r="G19" s="11"/>
      <c r="H19" s="11"/>
      <c r="I19" s="11"/>
      <c r="J19" s="11"/>
      <c r="K19" s="10" t="s">
        <v>98</v>
      </c>
      <c r="L19" s="10"/>
      <c r="M19" s="14" t="s">
        <v>99</v>
      </c>
    </row>
    <row r="20" spans="1:15" ht="75" customHeight="1" x14ac:dyDescent="0.25">
      <c r="A20" s="8" t="s">
        <v>100</v>
      </c>
      <c r="B20" s="9" t="s">
        <v>101</v>
      </c>
      <c r="C20" s="10"/>
      <c r="D20" s="11"/>
      <c r="E20" s="10"/>
      <c r="F20" s="11" t="s">
        <v>43</v>
      </c>
      <c r="G20" s="11"/>
      <c r="H20" s="11"/>
      <c r="I20" s="11"/>
      <c r="J20" s="11"/>
      <c r="K20" s="10" t="s">
        <v>43</v>
      </c>
      <c r="L20" s="10"/>
      <c r="M20" s="14"/>
    </row>
    <row r="21" spans="1:15" x14ac:dyDescent="0.25">
      <c r="A21" s="116" t="s">
        <v>102</v>
      </c>
      <c r="B21" s="112"/>
      <c r="C21" s="112"/>
      <c r="D21" s="112"/>
      <c r="E21" s="112"/>
      <c r="F21" s="112"/>
      <c r="G21" s="112"/>
      <c r="H21" s="112"/>
      <c r="I21" s="112"/>
      <c r="J21" s="112"/>
      <c r="K21" s="112"/>
      <c r="L21" s="112"/>
      <c r="M21" s="112"/>
      <c r="N21" s="112"/>
      <c r="O21" s="112"/>
    </row>
    <row r="22" spans="1:15" ht="38.25" customHeight="1" x14ac:dyDescent="0.25">
      <c r="A22" s="17" t="s">
        <v>103</v>
      </c>
      <c r="B22" s="18" t="s">
        <v>60</v>
      </c>
      <c r="C22" s="19" t="s">
        <v>80</v>
      </c>
      <c r="D22" s="20" t="s">
        <v>104</v>
      </c>
      <c r="E22" s="89" t="s">
        <v>105</v>
      </c>
      <c r="F22" s="20" t="s">
        <v>106</v>
      </c>
      <c r="G22" s="21">
        <v>0.76981999999999995</v>
      </c>
      <c r="H22" s="22">
        <v>384.91</v>
      </c>
      <c r="I22" s="22">
        <v>769.82</v>
      </c>
      <c r="J22" s="22">
        <v>1539.64</v>
      </c>
      <c r="K22" s="19" t="s">
        <v>107</v>
      </c>
      <c r="L22" s="19"/>
      <c r="M22" s="23" t="s">
        <v>912</v>
      </c>
    </row>
    <row r="23" spans="1:15" ht="25.5" customHeight="1" x14ac:dyDescent="0.25">
      <c r="A23" s="17" t="s">
        <v>108</v>
      </c>
      <c r="B23" s="18" t="s">
        <v>60</v>
      </c>
      <c r="C23" s="19" t="s">
        <v>109</v>
      </c>
      <c r="D23" s="20" t="s">
        <v>110</v>
      </c>
      <c r="E23" s="19" t="s">
        <v>111</v>
      </c>
      <c r="F23" s="20" t="s">
        <v>112</v>
      </c>
      <c r="G23" s="21">
        <v>0.17348</v>
      </c>
      <c r="H23" s="24">
        <v>86.74</v>
      </c>
      <c r="I23" s="22">
        <v>173.48</v>
      </c>
      <c r="J23" s="22">
        <v>346.96</v>
      </c>
      <c r="K23" s="19" t="s">
        <v>43</v>
      </c>
      <c r="L23" s="19"/>
      <c r="M23" s="23"/>
    </row>
    <row r="24" spans="1:15" ht="25.5" customHeight="1" x14ac:dyDescent="0.25">
      <c r="A24" s="17" t="s">
        <v>113</v>
      </c>
      <c r="B24" s="18" t="s">
        <v>60</v>
      </c>
      <c r="C24" s="19" t="s">
        <v>33</v>
      </c>
      <c r="D24" s="20" t="s">
        <v>114</v>
      </c>
      <c r="E24" s="19" t="s">
        <v>115</v>
      </c>
      <c r="F24" s="20" t="s">
        <v>116</v>
      </c>
      <c r="G24" s="21">
        <v>1.5939999999999999E-2</v>
      </c>
      <c r="H24" s="25">
        <v>7.97</v>
      </c>
      <c r="I24" s="25">
        <v>15.94</v>
      </c>
      <c r="J24" s="25">
        <v>31.88</v>
      </c>
      <c r="K24" s="19" t="s">
        <v>43</v>
      </c>
      <c r="L24" s="19"/>
      <c r="M24" s="23" t="s">
        <v>117</v>
      </c>
    </row>
    <row r="25" spans="1:15" ht="38.25" customHeight="1" x14ac:dyDescent="0.25">
      <c r="A25" s="17" t="s">
        <v>118</v>
      </c>
      <c r="B25" s="18" t="s">
        <v>60</v>
      </c>
      <c r="C25" s="19" t="s">
        <v>119</v>
      </c>
      <c r="D25" s="20" t="s">
        <v>120</v>
      </c>
      <c r="E25" s="19" t="s">
        <v>121</v>
      </c>
      <c r="F25" s="20" t="s">
        <v>43</v>
      </c>
      <c r="G25" s="20"/>
      <c r="H25" s="20"/>
      <c r="I25" s="20"/>
      <c r="J25" s="20"/>
      <c r="K25" s="19" t="s">
        <v>122</v>
      </c>
      <c r="L25" s="19"/>
      <c r="M25" s="23"/>
    </row>
    <row r="26" spans="1:15" ht="51" customHeight="1" x14ac:dyDescent="0.25">
      <c r="A26" s="17" t="s">
        <v>123</v>
      </c>
      <c r="B26" s="18" t="s">
        <v>60</v>
      </c>
      <c r="C26" s="19" t="s">
        <v>124</v>
      </c>
      <c r="D26" s="20" t="s">
        <v>19</v>
      </c>
      <c r="E26" s="19" t="s">
        <v>125</v>
      </c>
      <c r="F26" s="20" t="s">
        <v>126</v>
      </c>
      <c r="G26" s="21">
        <v>0.15659999999999999</v>
      </c>
      <c r="H26" s="24">
        <v>78.3</v>
      </c>
      <c r="I26" s="22">
        <v>156.6</v>
      </c>
      <c r="J26" s="22">
        <v>313.2</v>
      </c>
      <c r="K26" s="19" t="s">
        <v>127</v>
      </c>
      <c r="L26" s="19"/>
      <c r="M26" s="23"/>
    </row>
    <row r="27" spans="1:15" ht="38.25" customHeight="1" x14ac:dyDescent="0.25">
      <c r="A27" s="17" t="s">
        <v>128</v>
      </c>
      <c r="B27" s="18" t="s">
        <v>60</v>
      </c>
      <c r="C27" s="19" t="s">
        <v>33</v>
      </c>
      <c r="D27" s="20" t="s">
        <v>129</v>
      </c>
      <c r="E27" s="19" t="s">
        <v>130</v>
      </c>
      <c r="F27" s="20" t="s">
        <v>131</v>
      </c>
      <c r="G27" s="21">
        <v>0.32323000000000002</v>
      </c>
      <c r="H27" s="22">
        <v>161.61500000000001</v>
      </c>
      <c r="I27" s="22">
        <v>323.23</v>
      </c>
      <c r="J27" s="22">
        <v>646.46</v>
      </c>
      <c r="K27" s="19" t="s">
        <v>132</v>
      </c>
      <c r="L27" s="19"/>
      <c r="M27" s="23"/>
    </row>
    <row r="28" spans="1:15" ht="51" customHeight="1" x14ac:dyDescent="0.25">
      <c r="A28" s="17" t="s">
        <v>133</v>
      </c>
      <c r="B28" s="18" t="s">
        <v>60</v>
      </c>
      <c r="C28" s="19" t="s">
        <v>134</v>
      </c>
      <c r="D28" s="20" t="s">
        <v>135</v>
      </c>
      <c r="E28" s="19" t="s">
        <v>136</v>
      </c>
      <c r="F28" s="20" t="s">
        <v>43</v>
      </c>
      <c r="G28" s="20"/>
      <c r="H28" s="20"/>
      <c r="I28" s="20"/>
      <c r="J28" s="20"/>
      <c r="K28" s="19" t="s">
        <v>137</v>
      </c>
      <c r="L28" s="19"/>
      <c r="M28" s="23"/>
    </row>
    <row r="29" spans="1:15" ht="25.5" customHeight="1" x14ac:dyDescent="0.25">
      <c r="A29" s="17" t="s">
        <v>138</v>
      </c>
      <c r="B29" s="18" t="s">
        <v>60</v>
      </c>
      <c r="C29" s="19" t="s">
        <v>139</v>
      </c>
      <c r="D29" s="20" t="s">
        <v>140</v>
      </c>
      <c r="E29" s="19" t="s">
        <v>141</v>
      </c>
      <c r="F29" s="20" t="s">
        <v>142</v>
      </c>
      <c r="G29" s="21">
        <v>0.251</v>
      </c>
      <c r="H29" s="22">
        <v>125.5</v>
      </c>
      <c r="I29" s="22">
        <v>251</v>
      </c>
      <c r="J29" s="22">
        <v>502</v>
      </c>
      <c r="K29" s="19" t="s">
        <v>43</v>
      </c>
      <c r="L29" s="19"/>
      <c r="M29" s="23"/>
    </row>
    <row r="30" spans="1:15" ht="51" customHeight="1" x14ac:dyDescent="0.25">
      <c r="A30" s="17" t="s">
        <v>143</v>
      </c>
      <c r="B30" s="18" t="s">
        <v>60</v>
      </c>
      <c r="C30" s="19" t="s">
        <v>144</v>
      </c>
      <c r="D30" s="20" t="s">
        <v>145</v>
      </c>
      <c r="E30" s="19" t="s">
        <v>146</v>
      </c>
      <c r="F30" s="20" t="s">
        <v>43</v>
      </c>
      <c r="G30" s="20"/>
      <c r="H30" s="20"/>
      <c r="I30" s="20"/>
      <c r="J30" s="20"/>
      <c r="K30" s="19" t="s">
        <v>147</v>
      </c>
      <c r="L30" s="19"/>
      <c r="M30" s="23"/>
    </row>
    <row r="31" spans="1:15" ht="51" customHeight="1" x14ac:dyDescent="0.25">
      <c r="A31" s="17" t="s">
        <v>148</v>
      </c>
      <c r="B31" s="18" t="s">
        <v>60</v>
      </c>
      <c r="C31" s="19" t="s">
        <v>149</v>
      </c>
      <c r="D31" s="20" t="s">
        <v>150</v>
      </c>
      <c r="E31" s="19" t="s">
        <v>151</v>
      </c>
      <c r="F31" s="20" t="s">
        <v>152</v>
      </c>
      <c r="G31" s="21">
        <v>5.2999999999999999E-2</v>
      </c>
      <c r="H31" s="25">
        <v>26.5</v>
      </c>
      <c r="I31" s="24">
        <v>53</v>
      </c>
      <c r="J31" s="22">
        <v>106</v>
      </c>
      <c r="K31" s="19" t="s">
        <v>153</v>
      </c>
      <c r="L31" s="19"/>
      <c r="M31" s="23"/>
    </row>
    <row r="32" spans="1:15" ht="25.5" customHeight="1" x14ac:dyDescent="0.25">
      <c r="A32" s="17" t="s">
        <v>154</v>
      </c>
      <c r="B32" s="18" t="s">
        <v>60</v>
      </c>
      <c r="C32" s="19" t="s">
        <v>155</v>
      </c>
      <c r="D32" s="20" t="s">
        <v>156</v>
      </c>
      <c r="E32" s="19" t="s">
        <v>157</v>
      </c>
      <c r="F32" s="20" t="s">
        <v>158</v>
      </c>
      <c r="G32" s="21">
        <v>0.39251999999999998</v>
      </c>
      <c r="H32" s="22">
        <v>196.26</v>
      </c>
      <c r="I32" s="22">
        <v>392.52</v>
      </c>
      <c r="J32" s="22">
        <v>785.04</v>
      </c>
      <c r="K32" s="19" t="s">
        <v>43</v>
      </c>
      <c r="L32" s="19"/>
      <c r="M32" s="23" t="s">
        <v>99</v>
      </c>
    </row>
    <row r="33" spans="1:13" ht="51" customHeight="1" x14ac:dyDescent="0.25">
      <c r="A33" s="17" t="s">
        <v>159</v>
      </c>
      <c r="B33" s="18" t="s">
        <v>60</v>
      </c>
      <c r="C33" s="19" t="s">
        <v>160</v>
      </c>
      <c r="D33" s="20" t="s">
        <v>161</v>
      </c>
      <c r="E33" s="19" t="s">
        <v>162</v>
      </c>
      <c r="F33" s="20" t="s">
        <v>163</v>
      </c>
      <c r="G33" s="21">
        <v>0.29043000000000002</v>
      </c>
      <c r="H33" s="22">
        <v>145.215</v>
      </c>
      <c r="I33" s="22">
        <v>290.43</v>
      </c>
      <c r="J33" s="22">
        <v>580.86</v>
      </c>
      <c r="K33" s="19" t="s">
        <v>164</v>
      </c>
      <c r="L33" s="19"/>
      <c r="M33" s="23"/>
    </row>
    <row r="34" spans="1:13" ht="38.25" customHeight="1" x14ac:dyDescent="0.25">
      <c r="A34" s="17" t="s">
        <v>165</v>
      </c>
      <c r="B34" s="18" t="s">
        <v>60</v>
      </c>
      <c r="C34" s="19" t="s">
        <v>155</v>
      </c>
      <c r="D34" s="20" t="s">
        <v>166</v>
      </c>
      <c r="E34" s="19" t="s">
        <v>167</v>
      </c>
      <c r="F34" s="20" t="s">
        <v>168</v>
      </c>
      <c r="G34" s="21">
        <v>0.22977</v>
      </c>
      <c r="H34" s="22">
        <v>114.88500000000001</v>
      </c>
      <c r="I34" s="22">
        <v>229.77</v>
      </c>
      <c r="J34" s="22">
        <v>459.54</v>
      </c>
      <c r="K34" s="19" t="s">
        <v>169</v>
      </c>
      <c r="L34" s="19"/>
      <c r="M34" s="23"/>
    </row>
    <row r="35" spans="1:13" ht="25.5" customHeight="1" x14ac:dyDescent="0.25">
      <c r="A35" s="17" t="s">
        <v>90</v>
      </c>
      <c r="B35" s="18" t="s">
        <v>60</v>
      </c>
      <c r="C35" s="19" t="s">
        <v>80</v>
      </c>
      <c r="D35" s="20" t="s">
        <v>50</v>
      </c>
      <c r="E35" s="19" t="s">
        <v>170</v>
      </c>
      <c r="F35" s="20" t="s">
        <v>171</v>
      </c>
      <c r="G35" s="21">
        <v>0.21299999999999999</v>
      </c>
      <c r="H35" s="22">
        <v>106.5</v>
      </c>
      <c r="I35" s="22">
        <v>213</v>
      </c>
      <c r="J35" s="22">
        <v>426</v>
      </c>
      <c r="K35" s="19" t="s">
        <v>92</v>
      </c>
      <c r="L35" s="19"/>
      <c r="M35" s="23"/>
    </row>
    <row r="36" spans="1:13" ht="38.25" customHeight="1" x14ac:dyDescent="0.25">
      <c r="A36" s="17" t="s">
        <v>172</v>
      </c>
      <c r="B36" s="18" t="s">
        <v>60</v>
      </c>
      <c r="C36" s="19" t="s">
        <v>33</v>
      </c>
      <c r="D36" s="20" t="s">
        <v>173</v>
      </c>
      <c r="E36" s="19" t="s">
        <v>174</v>
      </c>
      <c r="F36" s="20" t="s">
        <v>175</v>
      </c>
      <c r="G36" s="21">
        <v>0.05</v>
      </c>
      <c r="H36" s="25">
        <v>25</v>
      </c>
      <c r="I36" s="24">
        <v>50</v>
      </c>
      <c r="J36" s="22">
        <v>100</v>
      </c>
      <c r="K36" s="19" t="s">
        <v>43</v>
      </c>
      <c r="L36" s="19"/>
      <c r="M36" s="23"/>
    </row>
    <row r="37" spans="1:13" ht="51" customHeight="1" x14ac:dyDescent="0.25">
      <c r="A37" s="17" t="s">
        <v>176</v>
      </c>
      <c r="B37" s="18" t="s">
        <v>60</v>
      </c>
      <c r="C37" s="19" t="s">
        <v>144</v>
      </c>
      <c r="D37" s="20" t="s">
        <v>177</v>
      </c>
      <c r="E37" s="19" t="s">
        <v>178</v>
      </c>
      <c r="F37" s="20" t="s">
        <v>179</v>
      </c>
      <c r="G37" s="21">
        <v>7.2520000000000001E-2</v>
      </c>
      <c r="H37" s="25">
        <v>36.26</v>
      </c>
      <c r="I37" s="24">
        <v>72.52</v>
      </c>
      <c r="J37" s="22">
        <v>145.04</v>
      </c>
      <c r="K37" s="19" t="s">
        <v>43</v>
      </c>
      <c r="L37" s="19"/>
      <c r="M37" s="23" t="s">
        <v>180</v>
      </c>
    </row>
    <row r="38" spans="1:13" ht="25.5" customHeight="1" x14ac:dyDescent="0.25">
      <c r="A38" s="17" t="s">
        <v>181</v>
      </c>
      <c r="B38" s="18" t="s">
        <v>60</v>
      </c>
      <c r="C38" s="19" t="s">
        <v>182</v>
      </c>
      <c r="D38" s="20" t="s">
        <v>183</v>
      </c>
      <c r="E38" s="19" t="s">
        <v>184</v>
      </c>
      <c r="F38" s="20" t="s">
        <v>185</v>
      </c>
      <c r="G38" s="21">
        <v>1.044E-2</v>
      </c>
      <c r="H38" s="25">
        <v>5.22</v>
      </c>
      <c r="I38" s="25">
        <v>10.44</v>
      </c>
      <c r="J38" s="25">
        <v>20.88</v>
      </c>
      <c r="K38" s="19" t="s">
        <v>43</v>
      </c>
      <c r="L38" s="19"/>
      <c r="M38" s="23"/>
    </row>
    <row r="39" spans="1:13" ht="25.5" customHeight="1" x14ac:dyDescent="0.25">
      <c r="A39" s="17" t="s">
        <v>186</v>
      </c>
      <c r="B39" s="18" t="s">
        <v>60</v>
      </c>
      <c r="C39" s="19" t="s">
        <v>187</v>
      </c>
      <c r="D39" s="20" t="s">
        <v>188</v>
      </c>
      <c r="E39" s="19" t="s">
        <v>189</v>
      </c>
      <c r="F39" s="20" t="s">
        <v>190</v>
      </c>
      <c r="G39" s="21">
        <v>0.04</v>
      </c>
      <c r="H39" s="25">
        <v>20</v>
      </c>
      <c r="I39" s="25">
        <v>40</v>
      </c>
      <c r="J39" s="24">
        <v>80</v>
      </c>
      <c r="K39" s="19" t="s">
        <v>191</v>
      </c>
      <c r="L39" s="19"/>
      <c r="M39" s="23"/>
    </row>
    <row r="40" spans="1:13" ht="25.5" customHeight="1" x14ac:dyDescent="0.25">
      <c r="A40" s="17" t="s">
        <v>192</v>
      </c>
      <c r="B40" s="18" t="s">
        <v>60</v>
      </c>
      <c r="C40" s="19" t="s">
        <v>193</v>
      </c>
      <c r="D40" s="20" t="s">
        <v>50</v>
      </c>
      <c r="E40" s="19" t="s">
        <v>194</v>
      </c>
      <c r="F40" s="20" t="s">
        <v>195</v>
      </c>
      <c r="G40" s="21">
        <v>1.469E-2</v>
      </c>
      <c r="H40" s="25">
        <v>7.3449999999999998</v>
      </c>
      <c r="I40" s="25">
        <v>14.69</v>
      </c>
      <c r="J40" s="25">
        <v>29.38</v>
      </c>
      <c r="K40" s="19" t="s">
        <v>43</v>
      </c>
      <c r="L40" s="19"/>
      <c r="M40" s="23"/>
    </row>
    <row r="41" spans="1:13" ht="38.25" customHeight="1" x14ac:dyDescent="0.25">
      <c r="A41" s="17" t="s">
        <v>196</v>
      </c>
      <c r="B41" s="18" t="s">
        <v>60</v>
      </c>
      <c r="C41" s="19" t="s">
        <v>74</v>
      </c>
      <c r="D41" s="20" t="s">
        <v>197</v>
      </c>
      <c r="E41" s="19" t="s">
        <v>198</v>
      </c>
      <c r="F41" s="20" t="s">
        <v>199</v>
      </c>
      <c r="G41" s="21">
        <v>0.34171000000000001</v>
      </c>
      <c r="H41" s="22">
        <v>170.85499999999999</v>
      </c>
      <c r="I41" s="22">
        <v>341.71</v>
      </c>
      <c r="J41" s="22">
        <v>683.42</v>
      </c>
      <c r="K41" s="19" t="s">
        <v>200</v>
      </c>
      <c r="L41" s="19" t="s">
        <v>201</v>
      </c>
      <c r="M41" s="23" t="s">
        <v>202</v>
      </c>
    </row>
    <row r="42" spans="1:13" ht="25.5" customHeight="1" x14ac:dyDescent="0.25">
      <c r="A42" s="17" t="s">
        <v>203</v>
      </c>
      <c r="B42" s="18" t="s">
        <v>60</v>
      </c>
      <c r="C42" s="19" t="s">
        <v>74</v>
      </c>
      <c r="D42" s="20" t="s">
        <v>204</v>
      </c>
      <c r="E42" s="19" t="s">
        <v>205</v>
      </c>
      <c r="F42" s="20" t="s">
        <v>206</v>
      </c>
      <c r="G42" s="21">
        <v>1.8556E-2</v>
      </c>
      <c r="H42" s="25">
        <v>9.2780000000000005</v>
      </c>
      <c r="I42" s="25">
        <v>18.556000000000001</v>
      </c>
      <c r="J42" s="25">
        <v>37.112000000000002</v>
      </c>
      <c r="K42" s="19" t="s">
        <v>43</v>
      </c>
      <c r="L42" s="19"/>
      <c r="M42" s="23"/>
    </row>
    <row r="43" spans="1:13" ht="25.5" customHeight="1" x14ac:dyDescent="0.25">
      <c r="A43" s="17" t="s">
        <v>207</v>
      </c>
      <c r="B43" s="18" t="s">
        <v>60</v>
      </c>
      <c r="C43" s="19" t="s">
        <v>144</v>
      </c>
      <c r="D43" s="20" t="s">
        <v>208</v>
      </c>
      <c r="E43" s="19" t="s">
        <v>209</v>
      </c>
      <c r="F43" s="20" t="s">
        <v>210</v>
      </c>
      <c r="G43" s="21">
        <v>0.18321999999999999</v>
      </c>
      <c r="H43" s="24">
        <v>91.61</v>
      </c>
      <c r="I43" s="22">
        <v>183.22</v>
      </c>
      <c r="J43" s="22">
        <v>366.44</v>
      </c>
      <c r="K43" s="19" t="s">
        <v>43</v>
      </c>
      <c r="L43" s="19"/>
      <c r="M43" s="23"/>
    </row>
    <row r="44" spans="1:13" ht="51" customHeight="1" x14ac:dyDescent="0.25">
      <c r="A44" s="17" t="s">
        <v>211</v>
      </c>
      <c r="B44" s="18" t="s">
        <v>60</v>
      </c>
      <c r="C44" s="19" t="s">
        <v>45</v>
      </c>
      <c r="D44" s="20" t="s">
        <v>909</v>
      </c>
      <c r="E44" s="19" t="s">
        <v>907</v>
      </c>
      <c r="F44" s="20" t="s">
        <v>214</v>
      </c>
      <c r="G44" s="21">
        <v>0.23807</v>
      </c>
      <c r="H44" s="22">
        <v>119.035</v>
      </c>
      <c r="I44" s="22">
        <v>238.07</v>
      </c>
      <c r="J44" s="22">
        <v>476.14</v>
      </c>
      <c r="K44" s="19" t="s">
        <v>215</v>
      </c>
      <c r="L44" s="19" t="s">
        <v>910</v>
      </c>
      <c r="M44" s="23"/>
    </row>
    <row r="45" spans="1:13" ht="25.5" customHeight="1" x14ac:dyDescent="0.25">
      <c r="A45" s="17" t="s">
        <v>216</v>
      </c>
      <c r="B45" s="18" t="s">
        <v>60</v>
      </c>
      <c r="C45" s="19" t="s">
        <v>217</v>
      </c>
      <c r="D45" s="20" t="s">
        <v>41</v>
      </c>
      <c r="E45" s="19" t="s">
        <v>218</v>
      </c>
      <c r="F45" s="20" t="s">
        <v>219</v>
      </c>
      <c r="G45" s="21">
        <v>0.15343000000000001</v>
      </c>
      <c r="H45" s="24">
        <v>76.715000000000003</v>
      </c>
      <c r="I45" s="22">
        <v>153.43</v>
      </c>
      <c r="J45" s="22">
        <v>306.86</v>
      </c>
      <c r="K45" s="19" t="s">
        <v>43</v>
      </c>
      <c r="L45" s="19"/>
      <c r="M45" s="23"/>
    </row>
    <row r="46" spans="1:13" ht="38.25" customHeight="1" x14ac:dyDescent="0.25">
      <c r="A46" s="17" t="s">
        <v>220</v>
      </c>
      <c r="B46" s="18" t="s">
        <v>60</v>
      </c>
      <c r="C46" s="19" t="s">
        <v>144</v>
      </c>
      <c r="D46" s="20" t="s">
        <v>221</v>
      </c>
      <c r="E46" s="19" t="s">
        <v>222</v>
      </c>
      <c r="F46" s="20" t="s">
        <v>223</v>
      </c>
      <c r="G46" s="21">
        <v>7.22E-2</v>
      </c>
      <c r="H46" s="25">
        <v>36.1</v>
      </c>
      <c r="I46" s="24">
        <v>72.2</v>
      </c>
      <c r="J46" s="22">
        <v>144.4</v>
      </c>
      <c r="K46" s="19" t="s">
        <v>224</v>
      </c>
      <c r="L46" s="19"/>
      <c r="M46" s="23"/>
    </row>
    <row r="47" spans="1:13" ht="25.5" customHeight="1" x14ac:dyDescent="0.25">
      <c r="A47" s="17" t="s">
        <v>225</v>
      </c>
      <c r="B47" s="18" t="s">
        <v>60</v>
      </c>
      <c r="C47" s="19" t="s">
        <v>226</v>
      </c>
      <c r="D47" s="20" t="s">
        <v>212</v>
      </c>
      <c r="E47" s="19" t="s">
        <v>227</v>
      </c>
      <c r="F47" s="20" t="s">
        <v>228</v>
      </c>
      <c r="G47" s="21">
        <v>9.5149999999999998E-2</v>
      </c>
      <c r="H47" s="25">
        <v>47.575000000000003</v>
      </c>
      <c r="I47" s="24">
        <v>95.15</v>
      </c>
      <c r="J47" s="22">
        <v>190.3</v>
      </c>
      <c r="K47" s="19" t="s">
        <v>43</v>
      </c>
      <c r="L47" s="19"/>
      <c r="M47" s="23"/>
    </row>
    <row r="48" spans="1:13" ht="25.5" customHeight="1" x14ac:dyDescent="0.25">
      <c r="A48" s="17" t="s">
        <v>229</v>
      </c>
      <c r="B48" s="18" t="s">
        <v>60</v>
      </c>
      <c r="C48" s="19" t="s">
        <v>230</v>
      </c>
      <c r="D48" s="20" t="s">
        <v>231</v>
      </c>
      <c r="E48" s="19" t="s">
        <v>232</v>
      </c>
      <c r="F48" s="20" t="s">
        <v>43</v>
      </c>
      <c r="G48" s="20"/>
      <c r="H48" s="20"/>
      <c r="I48" s="20"/>
      <c r="J48" s="20"/>
      <c r="K48" s="19" t="s">
        <v>233</v>
      </c>
      <c r="L48" s="19"/>
      <c r="M48" s="23"/>
    </row>
    <row r="49" spans="1:15" ht="51" customHeight="1" x14ac:dyDescent="0.25">
      <c r="A49" s="17" t="s">
        <v>236</v>
      </c>
      <c r="B49" s="18" t="s">
        <v>60</v>
      </c>
      <c r="C49" s="19" t="s">
        <v>33</v>
      </c>
      <c r="D49" s="20" t="s">
        <v>237</v>
      </c>
      <c r="E49" s="19" t="s">
        <v>238</v>
      </c>
      <c r="F49" s="20" t="s">
        <v>239</v>
      </c>
      <c r="G49" s="21">
        <v>0.05</v>
      </c>
      <c r="H49" s="25">
        <v>25</v>
      </c>
      <c r="I49" s="24">
        <v>50</v>
      </c>
      <c r="J49" s="22">
        <v>100</v>
      </c>
      <c r="K49" s="19" t="s">
        <v>43</v>
      </c>
      <c r="L49" s="19"/>
      <c r="M49" s="23"/>
    </row>
    <row r="50" spans="1:15" ht="38.25" customHeight="1" x14ac:dyDescent="0.25">
      <c r="A50" s="17" t="s">
        <v>240</v>
      </c>
      <c r="B50" s="18" t="s">
        <v>60</v>
      </c>
      <c r="C50" s="19" t="s">
        <v>80</v>
      </c>
      <c r="D50" s="20" t="s">
        <v>241</v>
      </c>
      <c r="E50" s="19" t="s">
        <v>242</v>
      </c>
      <c r="F50" s="20" t="s">
        <v>43</v>
      </c>
      <c r="G50" s="20"/>
      <c r="H50" s="20"/>
      <c r="I50" s="20"/>
      <c r="J50" s="20"/>
      <c r="K50" s="19" t="s">
        <v>243</v>
      </c>
      <c r="L50" s="19"/>
      <c r="M50" s="23"/>
    </row>
    <row r="51" spans="1:15" ht="25.5" customHeight="1" x14ac:dyDescent="0.25">
      <c r="A51" s="17" t="s">
        <v>244</v>
      </c>
      <c r="B51" s="18" t="s">
        <v>60</v>
      </c>
      <c r="C51" s="19" t="s">
        <v>245</v>
      </c>
      <c r="D51" s="20" t="s">
        <v>246</v>
      </c>
      <c r="E51" s="19" t="s">
        <v>247</v>
      </c>
      <c r="F51" s="20" t="s">
        <v>21</v>
      </c>
      <c r="G51" s="21">
        <v>0.31739000000000001</v>
      </c>
      <c r="H51" s="22">
        <v>158.69499999999999</v>
      </c>
      <c r="I51" s="22">
        <v>317.39</v>
      </c>
      <c r="J51" s="22">
        <v>634.78</v>
      </c>
      <c r="K51" s="19" t="s">
        <v>43</v>
      </c>
      <c r="L51" s="19"/>
      <c r="M51" s="23"/>
    </row>
    <row r="52" spans="1:15" ht="25.5" customHeight="1" x14ac:dyDescent="0.25">
      <c r="A52" s="17" t="s">
        <v>248</v>
      </c>
      <c r="B52" s="18" t="s">
        <v>60</v>
      </c>
      <c r="C52" s="19" t="s">
        <v>249</v>
      </c>
      <c r="D52" s="20" t="s">
        <v>250</v>
      </c>
      <c r="E52" s="19" t="s">
        <v>251</v>
      </c>
      <c r="F52" s="20" t="s">
        <v>43</v>
      </c>
      <c r="G52" s="20"/>
      <c r="H52" s="20"/>
      <c r="I52" s="20"/>
      <c r="J52" s="20"/>
      <c r="K52" s="19" t="s">
        <v>252</v>
      </c>
      <c r="L52" s="19"/>
      <c r="M52" s="23"/>
    </row>
    <row r="53" spans="1:15" ht="25.5" customHeight="1" x14ac:dyDescent="0.25">
      <c r="A53" s="17" t="s">
        <v>253</v>
      </c>
      <c r="B53" s="18" t="s">
        <v>60</v>
      </c>
      <c r="C53" s="19" t="s">
        <v>254</v>
      </c>
      <c r="D53" s="20" t="s">
        <v>255</v>
      </c>
      <c r="E53" s="19" t="s">
        <v>256</v>
      </c>
      <c r="F53" s="20" t="s">
        <v>257</v>
      </c>
      <c r="G53" s="21">
        <v>0.06</v>
      </c>
      <c r="H53" s="25">
        <v>30</v>
      </c>
      <c r="I53" s="24">
        <v>60</v>
      </c>
      <c r="J53" s="22">
        <v>120</v>
      </c>
      <c r="K53" s="19" t="s">
        <v>43</v>
      </c>
      <c r="L53" s="19"/>
      <c r="M53" s="23"/>
    </row>
    <row r="54" spans="1:15" ht="38.25" customHeight="1" x14ac:dyDescent="0.25">
      <c r="A54" s="17" t="s">
        <v>258</v>
      </c>
      <c r="B54" s="18" t="s">
        <v>60</v>
      </c>
      <c r="C54" s="19" t="s">
        <v>259</v>
      </c>
      <c r="D54" s="20" t="s">
        <v>260</v>
      </c>
      <c r="E54" s="19" t="s">
        <v>261</v>
      </c>
      <c r="F54" s="20" t="s">
        <v>43</v>
      </c>
      <c r="G54" s="20"/>
      <c r="H54" s="20"/>
      <c r="I54" s="20"/>
      <c r="J54" s="20"/>
      <c r="K54" s="19" t="s">
        <v>262</v>
      </c>
      <c r="L54" s="19"/>
      <c r="M54" s="23"/>
    </row>
    <row r="55" spans="1:15" ht="25.5" customHeight="1" x14ac:dyDescent="0.25">
      <c r="A55" s="17" t="s">
        <v>263</v>
      </c>
      <c r="B55" s="18" t="s">
        <v>60</v>
      </c>
      <c r="C55" s="19"/>
      <c r="D55" s="20" t="s">
        <v>264</v>
      </c>
      <c r="E55" s="19" t="s">
        <v>265</v>
      </c>
      <c r="F55" s="20" t="s">
        <v>266</v>
      </c>
      <c r="G55" s="21">
        <v>5.2269999999999997E-2</v>
      </c>
      <c r="H55" s="25">
        <v>26.135000000000002</v>
      </c>
      <c r="I55" s="24">
        <v>52.27</v>
      </c>
      <c r="J55" s="22">
        <v>104.54</v>
      </c>
      <c r="K55" s="19" t="s">
        <v>267</v>
      </c>
      <c r="L55" s="19"/>
      <c r="M55" s="23"/>
    </row>
    <row r="56" spans="1:15" x14ac:dyDescent="0.25">
      <c r="A56" s="111" t="s">
        <v>268</v>
      </c>
      <c r="B56" s="112"/>
      <c r="C56" s="112"/>
      <c r="D56" s="112"/>
      <c r="E56" s="112"/>
      <c r="F56" s="112"/>
      <c r="G56" s="112"/>
      <c r="H56" s="112"/>
      <c r="I56" s="112"/>
      <c r="J56" s="112"/>
      <c r="K56" s="112"/>
      <c r="L56" s="112"/>
      <c r="M56" s="112"/>
      <c r="N56" s="112"/>
      <c r="O56" s="112"/>
    </row>
    <row r="57" spans="1:15" ht="51" customHeight="1" x14ac:dyDescent="0.25">
      <c r="A57" s="26" t="s">
        <v>269</v>
      </c>
      <c r="B57" s="27" t="s">
        <v>287</v>
      </c>
      <c r="C57" s="28" t="s">
        <v>270</v>
      </c>
      <c r="D57" s="29" t="s">
        <v>271</v>
      </c>
      <c r="E57" s="28" t="s">
        <v>272</v>
      </c>
      <c r="F57" s="29" t="s">
        <v>273</v>
      </c>
      <c r="G57" s="30">
        <v>0.32385999999999998</v>
      </c>
      <c r="H57" s="31">
        <v>161.93</v>
      </c>
      <c r="I57" s="32">
        <v>323.86</v>
      </c>
      <c r="J57" s="33">
        <v>647.72</v>
      </c>
      <c r="K57" s="28" t="s">
        <v>274</v>
      </c>
      <c r="L57" s="28"/>
      <c r="M57" s="34"/>
    </row>
    <row r="58" spans="1:15" ht="51" customHeight="1" x14ac:dyDescent="0.25">
      <c r="A58" s="26" t="s">
        <v>275</v>
      </c>
      <c r="B58" s="27" t="s">
        <v>287</v>
      </c>
      <c r="C58" s="28" t="s">
        <v>276</v>
      </c>
      <c r="D58" s="29" t="s">
        <v>156</v>
      </c>
      <c r="E58" s="28" t="s">
        <v>277</v>
      </c>
      <c r="F58" s="29" t="s">
        <v>278</v>
      </c>
      <c r="G58" s="30">
        <v>0.11</v>
      </c>
      <c r="H58" s="31">
        <v>55</v>
      </c>
      <c r="I58" s="32">
        <v>110</v>
      </c>
      <c r="J58" s="33">
        <v>220</v>
      </c>
      <c r="K58" s="28" t="s">
        <v>279</v>
      </c>
      <c r="L58" s="28"/>
      <c r="M58" s="34"/>
    </row>
    <row r="59" spans="1:15" ht="63.75" customHeight="1" x14ac:dyDescent="0.25">
      <c r="A59" s="26" t="s">
        <v>25</v>
      </c>
      <c r="B59" s="27" t="s">
        <v>287</v>
      </c>
      <c r="C59" s="28" t="s">
        <v>26</v>
      </c>
      <c r="D59" s="29" t="s">
        <v>27</v>
      </c>
      <c r="E59" s="28" t="s">
        <v>893</v>
      </c>
      <c r="F59" s="29" t="s">
        <v>29</v>
      </c>
      <c r="G59" s="30">
        <v>0.29736000000000001</v>
      </c>
      <c r="H59" s="31">
        <v>148.68</v>
      </c>
      <c r="I59" s="32">
        <v>297.36</v>
      </c>
      <c r="J59" s="33">
        <v>594.72</v>
      </c>
      <c r="K59" s="28" t="s">
        <v>30</v>
      </c>
      <c r="L59" s="28"/>
      <c r="M59" s="34" t="s">
        <v>31</v>
      </c>
    </row>
    <row r="60" spans="1:15" ht="63.75" customHeight="1" x14ac:dyDescent="0.25">
      <c r="A60" s="26" t="s">
        <v>280</v>
      </c>
      <c r="B60" s="27" t="s">
        <v>287</v>
      </c>
      <c r="C60" s="28" t="s">
        <v>281</v>
      </c>
      <c r="D60" s="29" t="s">
        <v>110</v>
      </c>
      <c r="E60" s="28" t="s">
        <v>282</v>
      </c>
      <c r="F60" s="29" t="s">
        <v>283</v>
      </c>
      <c r="G60" s="30">
        <v>0.28025</v>
      </c>
      <c r="H60" s="31">
        <v>140.125</v>
      </c>
      <c r="I60" s="32">
        <v>280.25</v>
      </c>
      <c r="J60" s="33">
        <v>560.5</v>
      </c>
      <c r="K60" s="28" t="s">
        <v>284</v>
      </c>
      <c r="L60" s="28"/>
      <c r="M60" s="34" t="s">
        <v>285</v>
      </c>
    </row>
    <row r="61" spans="1:15" ht="51" customHeight="1" x14ac:dyDescent="0.25">
      <c r="A61" s="26" t="s">
        <v>286</v>
      </c>
      <c r="B61" s="27" t="s">
        <v>287</v>
      </c>
      <c r="C61" s="28" t="s">
        <v>288</v>
      </c>
      <c r="D61" s="29" t="s">
        <v>289</v>
      </c>
      <c r="E61" s="28" t="s">
        <v>290</v>
      </c>
      <c r="F61" s="29" t="s">
        <v>291</v>
      </c>
      <c r="G61" s="30">
        <v>0.08</v>
      </c>
      <c r="H61" s="31">
        <v>40</v>
      </c>
      <c r="I61" s="32">
        <v>80</v>
      </c>
      <c r="J61" s="33">
        <v>160</v>
      </c>
      <c r="K61" s="28" t="s">
        <v>292</v>
      </c>
      <c r="L61" s="28"/>
      <c r="M61" s="34"/>
    </row>
    <row r="62" spans="1:15" ht="38.25" customHeight="1" x14ac:dyDescent="0.25">
      <c r="A62" s="26" t="s">
        <v>293</v>
      </c>
      <c r="B62" s="27" t="s">
        <v>287</v>
      </c>
      <c r="C62" s="28" t="s">
        <v>294</v>
      </c>
      <c r="D62" s="29" t="s">
        <v>255</v>
      </c>
      <c r="E62" s="28" t="s">
        <v>295</v>
      </c>
      <c r="F62" s="29" t="s">
        <v>296</v>
      </c>
      <c r="G62" s="30">
        <v>5.2400000000000002E-2</v>
      </c>
      <c r="H62" s="31">
        <v>26.2</v>
      </c>
      <c r="I62" s="32">
        <v>52.4</v>
      </c>
      <c r="J62" s="33">
        <v>104.8</v>
      </c>
      <c r="K62" s="28" t="s">
        <v>297</v>
      </c>
      <c r="L62" s="28"/>
      <c r="M62" s="34"/>
    </row>
    <row r="63" spans="1:15" ht="30" customHeight="1" x14ac:dyDescent="0.25">
      <c r="A63" s="26" t="s">
        <v>298</v>
      </c>
      <c r="B63" s="27" t="s">
        <v>287</v>
      </c>
      <c r="C63" s="28" t="s">
        <v>245</v>
      </c>
      <c r="D63" s="29" t="s">
        <v>299</v>
      </c>
      <c r="E63" s="28" t="s">
        <v>300</v>
      </c>
      <c r="F63" s="29" t="s">
        <v>301</v>
      </c>
      <c r="G63" s="30">
        <v>7.0000000000000007E-2</v>
      </c>
      <c r="H63" s="31">
        <v>35</v>
      </c>
      <c r="I63" s="32">
        <v>70</v>
      </c>
      <c r="J63" s="33">
        <v>140</v>
      </c>
      <c r="K63" s="28" t="s">
        <v>302</v>
      </c>
      <c r="L63" s="28"/>
      <c r="M63" s="34"/>
    </row>
    <row r="64" spans="1:15" ht="30" customHeight="1" x14ac:dyDescent="0.25">
      <c r="A64" s="26" t="s">
        <v>303</v>
      </c>
      <c r="B64" s="27" t="s">
        <v>287</v>
      </c>
      <c r="C64" s="28" t="s">
        <v>304</v>
      </c>
      <c r="D64" s="29" t="s">
        <v>305</v>
      </c>
      <c r="E64" s="28" t="s">
        <v>306</v>
      </c>
      <c r="F64" s="29" t="s">
        <v>307</v>
      </c>
      <c r="G64" s="30">
        <v>0.19</v>
      </c>
      <c r="H64" s="32">
        <v>95</v>
      </c>
      <c r="I64" s="33">
        <v>190</v>
      </c>
      <c r="J64" s="33">
        <v>380</v>
      </c>
      <c r="K64" s="28" t="s">
        <v>308</v>
      </c>
      <c r="L64" s="28"/>
      <c r="M64" s="34"/>
    </row>
    <row r="65" spans="1:13" ht="51" customHeight="1" x14ac:dyDescent="0.25">
      <c r="A65" s="26" t="s">
        <v>309</v>
      </c>
      <c r="B65" s="27" t="s">
        <v>287</v>
      </c>
      <c r="C65" s="28" t="s">
        <v>304</v>
      </c>
      <c r="D65" s="29" t="s">
        <v>310</v>
      </c>
      <c r="E65" s="28" t="s">
        <v>311</v>
      </c>
      <c r="F65" s="29" t="s">
        <v>312</v>
      </c>
      <c r="G65" s="30">
        <v>0.12873999999999999</v>
      </c>
      <c r="H65" s="32">
        <v>64.37</v>
      </c>
      <c r="I65" s="33">
        <v>128.74</v>
      </c>
      <c r="J65" s="33">
        <v>257.48</v>
      </c>
      <c r="K65" s="28" t="s">
        <v>313</v>
      </c>
      <c r="L65" s="28"/>
      <c r="M65" s="34"/>
    </row>
    <row r="66" spans="1:13" ht="30" customHeight="1" x14ac:dyDescent="0.25">
      <c r="A66" s="26" t="s">
        <v>314</v>
      </c>
      <c r="B66" s="27" t="s">
        <v>287</v>
      </c>
      <c r="C66" s="28" t="s">
        <v>304</v>
      </c>
      <c r="D66" s="29" t="s">
        <v>204</v>
      </c>
      <c r="E66" s="28" t="s">
        <v>315</v>
      </c>
      <c r="F66" s="29" t="s">
        <v>316</v>
      </c>
      <c r="G66" s="30">
        <v>0.13947000000000001</v>
      </c>
      <c r="H66" s="32">
        <v>69.734999999999999</v>
      </c>
      <c r="I66" s="33">
        <v>139.47</v>
      </c>
      <c r="J66" s="33">
        <v>278.94</v>
      </c>
      <c r="K66" s="28" t="s">
        <v>43</v>
      </c>
      <c r="L66" s="28"/>
      <c r="M66" s="34"/>
    </row>
    <row r="67" spans="1:13" ht="51" customHeight="1" x14ac:dyDescent="0.25">
      <c r="A67" s="26" t="s">
        <v>317</v>
      </c>
      <c r="B67" s="27" t="s">
        <v>287</v>
      </c>
      <c r="C67" s="28" t="s">
        <v>318</v>
      </c>
      <c r="D67" s="29" t="s">
        <v>319</v>
      </c>
      <c r="E67" s="28" t="s">
        <v>320</v>
      </c>
      <c r="F67" s="29" t="s">
        <v>321</v>
      </c>
      <c r="G67" s="30">
        <v>2.1000000000000001E-2</v>
      </c>
      <c r="H67" s="31">
        <v>10.5</v>
      </c>
      <c r="I67" s="31">
        <v>21</v>
      </c>
      <c r="J67" s="31">
        <v>42</v>
      </c>
      <c r="K67" s="28" t="s">
        <v>322</v>
      </c>
      <c r="L67" s="28"/>
      <c r="M67" s="34"/>
    </row>
    <row r="68" spans="1:13" ht="30" customHeight="1" x14ac:dyDescent="0.25">
      <c r="A68" s="26" t="s">
        <v>323</v>
      </c>
      <c r="B68" s="27" t="s">
        <v>287</v>
      </c>
      <c r="C68" s="28" t="s">
        <v>304</v>
      </c>
      <c r="D68" s="29" t="s">
        <v>324</v>
      </c>
      <c r="E68" s="28" t="s">
        <v>325</v>
      </c>
      <c r="F68" s="29" t="s">
        <v>326</v>
      </c>
      <c r="G68" s="30">
        <v>0.19611999999999999</v>
      </c>
      <c r="H68" s="32">
        <v>98.06</v>
      </c>
      <c r="I68" s="33">
        <v>196.12</v>
      </c>
      <c r="J68" s="33">
        <v>392.24</v>
      </c>
      <c r="K68" s="28" t="s">
        <v>327</v>
      </c>
      <c r="L68" s="28"/>
      <c r="M68" s="34"/>
    </row>
    <row r="69" spans="1:13" ht="51" customHeight="1" x14ac:dyDescent="0.25">
      <c r="A69" s="26" t="s">
        <v>328</v>
      </c>
      <c r="B69" s="27" t="s">
        <v>287</v>
      </c>
      <c r="C69" s="28" t="s">
        <v>329</v>
      </c>
      <c r="D69" s="29" t="s">
        <v>330</v>
      </c>
      <c r="E69" s="28" t="s">
        <v>331</v>
      </c>
      <c r="F69" s="29" t="s">
        <v>43</v>
      </c>
      <c r="G69" s="29"/>
      <c r="H69" s="29"/>
      <c r="I69" s="29"/>
      <c r="J69" s="29"/>
      <c r="K69" s="28" t="s">
        <v>332</v>
      </c>
      <c r="L69" s="28"/>
      <c r="M69" s="34"/>
    </row>
    <row r="70" spans="1:13" ht="30" customHeight="1" x14ac:dyDescent="0.25">
      <c r="A70" s="26" t="s">
        <v>333</v>
      </c>
      <c r="B70" s="27" t="s">
        <v>287</v>
      </c>
      <c r="C70" s="28" t="s">
        <v>304</v>
      </c>
      <c r="D70" s="29" t="s">
        <v>334</v>
      </c>
      <c r="E70" s="28" t="s">
        <v>335</v>
      </c>
      <c r="F70" s="29" t="s">
        <v>336</v>
      </c>
      <c r="G70" s="30">
        <v>0.33700000000000002</v>
      </c>
      <c r="H70" s="33">
        <v>168.5</v>
      </c>
      <c r="I70" s="33">
        <v>337</v>
      </c>
      <c r="J70" s="33">
        <v>674</v>
      </c>
      <c r="K70" s="28" t="s">
        <v>337</v>
      </c>
      <c r="L70" s="28"/>
      <c r="M70" s="34"/>
    </row>
    <row r="71" spans="1:13" ht="38.25" customHeight="1" x14ac:dyDescent="0.25">
      <c r="A71" s="26" t="s">
        <v>338</v>
      </c>
      <c r="B71" s="27" t="s">
        <v>287</v>
      </c>
      <c r="C71" s="28" t="s">
        <v>33</v>
      </c>
      <c r="D71" s="29" t="s">
        <v>339</v>
      </c>
      <c r="E71" s="28" t="s">
        <v>340</v>
      </c>
      <c r="F71" s="29" t="s">
        <v>341</v>
      </c>
      <c r="G71" s="30">
        <v>0.29992999999999997</v>
      </c>
      <c r="H71" s="33">
        <v>149.965</v>
      </c>
      <c r="I71" s="33">
        <v>299.93</v>
      </c>
      <c r="J71" s="33">
        <v>599.86</v>
      </c>
      <c r="K71" s="28" t="s">
        <v>342</v>
      </c>
      <c r="L71" s="28"/>
      <c r="M71" s="34"/>
    </row>
    <row r="72" spans="1:13" ht="38.25" customHeight="1" x14ac:dyDescent="0.25">
      <c r="A72" s="26" t="s">
        <v>343</v>
      </c>
      <c r="B72" s="27" t="s">
        <v>287</v>
      </c>
      <c r="C72" s="28" t="s">
        <v>193</v>
      </c>
      <c r="D72" s="29" t="s">
        <v>344</v>
      </c>
      <c r="E72" s="28" t="s">
        <v>345</v>
      </c>
      <c r="F72" s="29" t="s">
        <v>43</v>
      </c>
      <c r="G72" s="29"/>
      <c r="H72" s="29"/>
      <c r="I72" s="29"/>
      <c r="J72" s="29"/>
      <c r="K72" s="28" t="s">
        <v>346</v>
      </c>
      <c r="L72" s="28"/>
      <c r="M72" s="34"/>
    </row>
    <row r="73" spans="1:13" ht="51" customHeight="1" x14ac:dyDescent="0.25">
      <c r="A73" s="26" t="s">
        <v>347</v>
      </c>
      <c r="B73" s="27" t="s">
        <v>287</v>
      </c>
      <c r="C73" s="28" t="s">
        <v>80</v>
      </c>
      <c r="D73" s="29" t="s">
        <v>348</v>
      </c>
      <c r="E73" s="28" t="s">
        <v>349</v>
      </c>
      <c r="F73" s="29" t="s">
        <v>43</v>
      </c>
      <c r="G73" s="29"/>
      <c r="H73" s="29"/>
      <c r="I73" s="29"/>
      <c r="J73" s="29"/>
      <c r="K73" s="28" t="s">
        <v>350</v>
      </c>
      <c r="L73" s="28"/>
      <c r="M73" s="34"/>
    </row>
    <row r="74" spans="1:13" ht="51" customHeight="1" x14ac:dyDescent="0.25">
      <c r="A74" s="26" t="s">
        <v>351</v>
      </c>
      <c r="B74" s="27" t="s">
        <v>287</v>
      </c>
      <c r="C74" s="28" t="s">
        <v>304</v>
      </c>
      <c r="D74" s="29" t="s">
        <v>212</v>
      </c>
      <c r="E74" s="28" t="s">
        <v>352</v>
      </c>
      <c r="F74" s="29" t="s">
        <v>43</v>
      </c>
      <c r="G74" s="29"/>
      <c r="H74" s="29"/>
      <c r="I74" s="29"/>
      <c r="J74" s="29"/>
      <c r="K74" s="28" t="s">
        <v>353</v>
      </c>
      <c r="L74" s="28"/>
      <c r="M74" s="34"/>
    </row>
    <row r="75" spans="1:13" ht="38.25" customHeight="1" x14ac:dyDescent="0.25">
      <c r="A75" s="26" t="s">
        <v>354</v>
      </c>
      <c r="B75" s="27" t="s">
        <v>287</v>
      </c>
      <c r="C75" s="28" t="s">
        <v>304</v>
      </c>
      <c r="D75" s="29" t="s">
        <v>61</v>
      </c>
      <c r="E75" s="28" t="s">
        <v>355</v>
      </c>
      <c r="F75" s="29" t="s">
        <v>356</v>
      </c>
      <c r="G75" s="30">
        <v>0.47599999999999998</v>
      </c>
      <c r="H75" s="33">
        <v>238</v>
      </c>
      <c r="I75" s="33">
        <v>476</v>
      </c>
      <c r="J75" s="33">
        <v>952</v>
      </c>
      <c r="K75" s="28" t="s">
        <v>43</v>
      </c>
      <c r="L75" s="28"/>
      <c r="M75" s="34"/>
    </row>
    <row r="76" spans="1:13" ht="30" customHeight="1" x14ac:dyDescent="0.25">
      <c r="A76" s="26" t="s">
        <v>357</v>
      </c>
      <c r="B76" s="27" t="s">
        <v>287</v>
      </c>
      <c r="C76" s="28" t="s">
        <v>358</v>
      </c>
      <c r="D76" s="29" t="s">
        <v>359</v>
      </c>
      <c r="E76" s="28" t="s">
        <v>360</v>
      </c>
      <c r="F76" s="29" t="s">
        <v>361</v>
      </c>
      <c r="G76" s="30">
        <v>0.06</v>
      </c>
      <c r="H76" s="31">
        <v>30</v>
      </c>
      <c r="I76" s="32">
        <v>60</v>
      </c>
      <c r="J76" s="33">
        <v>120</v>
      </c>
      <c r="K76" s="28" t="s">
        <v>43</v>
      </c>
      <c r="L76" s="28"/>
      <c r="M76" s="34"/>
    </row>
    <row r="77" spans="1:13" ht="51" customHeight="1" x14ac:dyDescent="0.25">
      <c r="A77" s="26" t="s">
        <v>362</v>
      </c>
      <c r="B77" s="27" t="s">
        <v>287</v>
      </c>
      <c r="C77" s="28" t="s">
        <v>304</v>
      </c>
      <c r="D77" s="29" t="s">
        <v>363</v>
      </c>
      <c r="E77" s="28" t="s">
        <v>364</v>
      </c>
      <c r="F77" s="29" t="s">
        <v>365</v>
      </c>
      <c r="G77" s="30">
        <v>8.2000000000000003E-2</v>
      </c>
      <c r="H77" s="31">
        <v>41</v>
      </c>
      <c r="I77" s="32">
        <v>82</v>
      </c>
      <c r="J77" s="33">
        <v>164</v>
      </c>
      <c r="K77" s="28" t="s">
        <v>366</v>
      </c>
      <c r="L77" s="28"/>
      <c r="M77" s="34"/>
    </row>
    <row r="78" spans="1:13" ht="51" customHeight="1" x14ac:dyDescent="0.25">
      <c r="A78" s="26" t="s">
        <v>367</v>
      </c>
      <c r="B78" s="27" t="s">
        <v>287</v>
      </c>
      <c r="C78" s="28" t="s">
        <v>304</v>
      </c>
      <c r="D78" s="29" t="s">
        <v>368</v>
      </c>
      <c r="E78" s="28" t="s">
        <v>369</v>
      </c>
      <c r="F78" s="29" t="s">
        <v>370</v>
      </c>
      <c r="G78" s="30">
        <v>0.12781999999999999</v>
      </c>
      <c r="H78" s="32">
        <v>63.91</v>
      </c>
      <c r="I78" s="33">
        <v>127.82</v>
      </c>
      <c r="J78" s="33">
        <v>255.64</v>
      </c>
      <c r="K78" s="28" t="s">
        <v>371</v>
      </c>
      <c r="L78" s="28"/>
      <c r="M78" s="34"/>
    </row>
    <row r="79" spans="1:13" ht="51" customHeight="1" x14ac:dyDescent="0.25">
      <c r="A79" s="26" t="s">
        <v>372</v>
      </c>
      <c r="B79" s="27" t="s">
        <v>287</v>
      </c>
      <c r="C79" s="28" t="s">
        <v>304</v>
      </c>
      <c r="D79" s="29" t="s">
        <v>373</v>
      </c>
      <c r="E79" s="28" t="s">
        <v>374</v>
      </c>
      <c r="F79" s="29" t="s">
        <v>375</v>
      </c>
      <c r="G79" s="30">
        <v>0.17580000000000001</v>
      </c>
      <c r="H79" s="32">
        <v>87.9</v>
      </c>
      <c r="I79" s="33">
        <v>175.8</v>
      </c>
      <c r="J79" s="33">
        <v>351.6</v>
      </c>
      <c r="K79" s="28" t="s">
        <v>376</v>
      </c>
      <c r="L79" s="28"/>
      <c r="M79" s="34"/>
    </row>
    <row r="80" spans="1:13" ht="38.25" customHeight="1" x14ac:dyDescent="0.25">
      <c r="A80" s="26" t="s">
        <v>377</v>
      </c>
      <c r="B80" s="27" t="s">
        <v>287</v>
      </c>
      <c r="C80" s="28" t="s">
        <v>304</v>
      </c>
      <c r="D80" s="29" t="s">
        <v>378</v>
      </c>
      <c r="E80" s="28" t="s">
        <v>379</v>
      </c>
      <c r="F80" s="29" t="s">
        <v>380</v>
      </c>
      <c r="G80" s="30">
        <v>0.40605000000000002</v>
      </c>
      <c r="H80" s="33">
        <v>203.02500000000001</v>
      </c>
      <c r="I80" s="33">
        <v>406.05</v>
      </c>
      <c r="J80" s="33">
        <v>812.1</v>
      </c>
      <c r="K80" s="28" t="s">
        <v>381</v>
      </c>
      <c r="L80" s="28"/>
      <c r="M80" s="34"/>
    </row>
    <row r="81" spans="1:13" ht="51" customHeight="1" x14ac:dyDescent="0.25">
      <c r="A81" s="26" t="s">
        <v>382</v>
      </c>
      <c r="B81" s="27" t="s">
        <v>287</v>
      </c>
      <c r="C81" s="28" t="s">
        <v>144</v>
      </c>
      <c r="D81" s="29" t="s">
        <v>383</v>
      </c>
      <c r="E81" s="28" t="s">
        <v>384</v>
      </c>
      <c r="F81" s="29" t="s">
        <v>385</v>
      </c>
      <c r="G81" s="30">
        <v>0.15042</v>
      </c>
      <c r="H81" s="32">
        <v>75.209999999999994</v>
      </c>
      <c r="I81" s="33">
        <v>150.41999999999999</v>
      </c>
      <c r="J81" s="33">
        <v>300.83999999999997</v>
      </c>
      <c r="K81" s="28" t="s">
        <v>386</v>
      </c>
      <c r="L81" s="28"/>
      <c r="M81" s="34"/>
    </row>
    <row r="82" spans="1:13" ht="30" customHeight="1" x14ac:dyDescent="0.25">
      <c r="A82" s="26" t="s">
        <v>387</v>
      </c>
      <c r="B82" s="27" t="s">
        <v>287</v>
      </c>
      <c r="C82" s="28" t="s">
        <v>304</v>
      </c>
      <c r="D82" s="29" t="s">
        <v>388</v>
      </c>
      <c r="E82" s="28" t="s">
        <v>389</v>
      </c>
      <c r="F82" s="29" t="s">
        <v>390</v>
      </c>
      <c r="G82" s="30">
        <v>0.40193000000000001</v>
      </c>
      <c r="H82" s="33">
        <v>200.965</v>
      </c>
      <c r="I82" s="33">
        <v>401.93</v>
      </c>
      <c r="J82" s="33">
        <v>803.86</v>
      </c>
      <c r="K82" s="28" t="s">
        <v>391</v>
      </c>
      <c r="L82" s="28"/>
      <c r="M82" s="34"/>
    </row>
    <row r="83" spans="1:13" ht="30" customHeight="1" x14ac:dyDescent="0.25">
      <c r="A83" s="26" t="s">
        <v>392</v>
      </c>
      <c r="B83" s="27" t="s">
        <v>287</v>
      </c>
      <c r="C83" s="28" t="s">
        <v>393</v>
      </c>
      <c r="D83" s="29" t="s">
        <v>394</v>
      </c>
      <c r="E83" s="28" t="s">
        <v>395</v>
      </c>
      <c r="F83" s="29" t="s">
        <v>396</v>
      </c>
      <c r="G83" s="30">
        <v>0.1976</v>
      </c>
      <c r="H83" s="32">
        <v>98.8</v>
      </c>
      <c r="I83" s="33">
        <v>197.6</v>
      </c>
      <c r="J83" s="33">
        <v>395.2</v>
      </c>
      <c r="K83" s="28" t="s">
        <v>43</v>
      </c>
      <c r="L83" s="28"/>
      <c r="M83" s="34"/>
    </row>
    <row r="84" spans="1:13" ht="51" customHeight="1" x14ac:dyDescent="0.25">
      <c r="A84" s="26" t="s">
        <v>397</v>
      </c>
      <c r="B84" s="27" t="s">
        <v>287</v>
      </c>
      <c r="C84" s="28" t="s">
        <v>304</v>
      </c>
      <c r="D84" s="29" t="s">
        <v>398</v>
      </c>
      <c r="E84" s="28" t="s">
        <v>399</v>
      </c>
      <c r="F84" s="29" t="s">
        <v>43</v>
      </c>
      <c r="G84" s="29"/>
      <c r="H84" s="29"/>
      <c r="I84" s="29"/>
      <c r="J84" s="29"/>
      <c r="K84" s="28" t="s">
        <v>400</v>
      </c>
      <c r="L84" s="28"/>
      <c r="M84" s="34"/>
    </row>
    <row r="85" spans="1:13" ht="30" customHeight="1" x14ac:dyDescent="0.25">
      <c r="A85" s="26" t="s">
        <v>401</v>
      </c>
      <c r="B85" s="27" t="s">
        <v>287</v>
      </c>
      <c r="C85" s="28" t="s">
        <v>304</v>
      </c>
      <c r="D85" s="29" t="s">
        <v>41</v>
      </c>
      <c r="E85" s="28" t="s">
        <v>402</v>
      </c>
      <c r="F85" s="29" t="s">
        <v>43</v>
      </c>
      <c r="G85" s="29"/>
      <c r="H85" s="29"/>
      <c r="I85" s="29"/>
      <c r="J85" s="29"/>
      <c r="K85" s="28" t="s">
        <v>403</v>
      </c>
      <c r="L85" s="28"/>
      <c r="M85" s="34"/>
    </row>
    <row r="86" spans="1:13" ht="30" customHeight="1" x14ac:dyDescent="0.25">
      <c r="A86" s="26" t="s">
        <v>404</v>
      </c>
      <c r="B86" s="27" t="s">
        <v>287</v>
      </c>
      <c r="C86" s="28" t="s">
        <v>139</v>
      </c>
      <c r="D86" s="29" t="s">
        <v>405</v>
      </c>
      <c r="E86" s="28" t="s">
        <v>406</v>
      </c>
      <c r="F86" s="29" t="s">
        <v>407</v>
      </c>
      <c r="G86" s="30">
        <v>0.08</v>
      </c>
      <c r="H86" s="31">
        <v>40</v>
      </c>
      <c r="I86" s="32">
        <v>80</v>
      </c>
      <c r="J86" s="33">
        <v>160</v>
      </c>
      <c r="K86" s="28" t="s">
        <v>43</v>
      </c>
      <c r="L86" s="28"/>
      <c r="M86" s="34"/>
    </row>
    <row r="87" spans="1:13" ht="51" customHeight="1" x14ac:dyDescent="0.25">
      <c r="A87" s="26" t="s">
        <v>408</v>
      </c>
      <c r="B87" s="27" t="s">
        <v>287</v>
      </c>
      <c r="C87" s="28" t="s">
        <v>409</v>
      </c>
      <c r="D87" s="29" t="s">
        <v>410</v>
      </c>
      <c r="E87" s="28" t="s">
        <v>411</v>
      </c>
      <c r="F87" s="29" t="s">
        <v>43</v>
      </c>
      <c r="G87" s="29"/>
      <c r="H87" s="29"/>
      <c r="I87" s="29"/>
      <c r="J87" s="29"/>
      <c r="K87" s="28" t="s">
        <v>412</v>
      </c>
      <c r="L87" s="28"/>
      <c r="M87" s="34"/>
    </row>
    <row r="88" spans="1:13" ht="51" customHeight="1" x14ac:dyDescent="0.25">
      <c r="A88" s="26" t="s">
        <v>415</v>
      </c>
      <c r="B88" s="27" t="s">
        <v>287</v>
      </c>
      <c r="C88" s="28" t="s">
        <v>304</v>
      </c>
      <c r="D88" s="29" t="s">
        <v>416</v>
      </c>
      <c r="E88" s="28" t="s">
        <v>417</v>
      </c>
      <c r="F88" s="29" t="s">
        <v>418</v>
      </c>
      <c r="G88" s="30">
        <v>0.10349</v>
      </c>
      <c r="H88" s="32">
        <v>51.744999999999997</v>
      </c>
      <c r="I88" s="33">
        <v>103.49</v>
      </c>
      <c r="J88" s="33">
        <v>206.98</v>
      </c>
      <c r="K88" s="28" t="s">
        <v>419</v>
      </c>
      <c r="L88" s="28"/>
      <c r="M88" s="34"/>
    </row>
    <row r="89" spans="1:13" ht="38.25" customHeight="1" x14ac:dyDescent="0.25">
      <c r="A89" s="26" t="s">
        <v>420</v>
      </c>
      <c r="B89" s="27" t="s">
        <v>287</v>
      </c>
      <c r="C89" s="28" t="s">
        <v>421</v>
      </c>
      <c r="D89" s="29" t="s">
        <v>373</v>
      </c>
      <c r="E89" s="28" t="s">
        <v>414</v>
      </c>
      <c r="F89" s="29" t="s">
        <v>43</v>
      </c>
      <c r="G89" s="29"/>
      <c r="H89" s="29"/>
      <c r="I89" s="29"/>
      <c r="J89" s="29"/>
      <c r="K89" s="28" t="s">
        <v>422</v>
      </c>
      <c r="L89" s="28"/>
      <c r="M89" s="34"/>
    </row>
    <row r="90" spans="1:13" ht="30" customHeight="1" x14ac:dyDescent="0.25">
      <c r="A90" s="26" t="s">
        <v>423</v>
      </c>
      <c r="B90" s="27" t="s">
        <v>287</v>
      </c>
      <c r="C90" s="28" t="s">
        <v>424</v>
      </c>
      <c r="D90" s="29" t="s">
        <v>264</v>
      </c>
      <c r="E90" s="28" t="s">
        <v>425</v>
      </c>
      <c r="F90" s="29" t="s">
        <v>426</v>
      </c>
      <c r="G90" s="30">
        <v>0.31331999999999999</v>
      </c>
      <c r="H90" s="33">
        <v>156.66</v>
      </c>
      <c r="I90" s="33">
        <v>313.32</v>
      </c>
      <c r="J90" s="33">
        <v>626.64</v>
      </c>
      <c r="K90" s="28" t="s">
        <v>43</v>
      </c>
      <c r="L90" s="28"/>
      <c r="M90" s="34"/>
    </row>
    <row r="91" spans="1:13" ht="51" customHeight="1" x14ac:dyDescent="0.25">
      <c r="A91" s="26" t="s">
        <v>427</v>
      </c>
      <c r="B91" s="27" t="s">
        <v>287</v>
      </c>
      <c r="C91" s="28" t="s">
        <v>304</v>
      </c>
      <c r="D91" s="29" t="s">
        <v>428</v>
      </c>
      <c r="E91" s="28" t="s">
        <v>429</v>
      </c>
      <c r="F91" s="29" t="s">
        <v>430</v>
      </c>
      <c r="G91" s="30">
        <v>4.4479999999999999E-2</v>
      </c>
      <c r="H91" s="31">
        <v>22.24</v>
      </c>
      <c r="I91" s="31">
        <v>44.48</v>
      </c>
      <c r="J91" s="32">
        <v>88.96</v>
      </c>
      <c r="K91" s="28" t="s">
        <v>431</v>
      </c>
      <c r="L91" s="28"/>
      <c r="M91" s="34"/>
    </row>
    <row r="92" spans="1:13" ht="51" customHeight="1" x14ac:dyDescent="0.25">
      <c r="A92" s="26" t="s">
        <v>432</v>
      </c>
      <c r="B92" s="27" t="s">
        <v>287</v>
      </c>
      <c r="C92" s="28" t="s">
        <v>304</v>
      </c>
      <c r="D92" s="29" t="s">
        <v>433</v>
      </c>
      <c r="E92" s="28" t="s">
        <v>434</v>
      </c>
      <c r="F92" s="29" t="s">
        <v>435</v>
      </c>
      <c r="G92" s="30">
        <v>5.4850000000000003E-2</v>
      </c>
      <c r="H92" s="31">
        <v>27.425000000000001</v>
      </c>
      <c r="I92" s="32">
        <v>54.85</v>
      </c>
      <c r="J92" s="33">
        <v>109.7</v>
      </c>
      <c r="K92" s="28" t="s">
        <v>436</v>
      </c>
      <c r="L92" s="28"/>
      <c r="M92" s="34"/>
    </row>
    <row r="93" spans="1:13" ht="51" customHeight="1" x14ac:dyDescent="0.25">
      <c r="A93" s="26" t="s">
        <v>437</v>
      </c>
      <c r="B93" s="27" t="s">
        <v>287</v>
      </c>
      <c r="C93" s="28" t="s">
        <v>304</v>
      </c>
      <c r="D93" s="29" t="s">
        <v>438</v>
      </c>
      <c r="E93" s="28" t="s">
        <v>439</v>
      </c>
      <c r="F93" s="29" t="s">
        <v>440</v>
      </c>
      <c r="G93" s="30">
        <v>6.5939999999999999E-2</v>
      </c>
      <c r="H93" s="31">
        <v>32.97</v>
      </c>
      <c r="I93" s="32">
        <v>65.94</v>
      </c>
      <c r="J93" s="33">
        <v>131.88</v>
      </c>
      <c r="K93" s="28" t="s">
        <v>441</v>
      </c>
      <c r="L93" s="28"/>
      <c r="M93" s="34"/>
    </row>
    <row r="94" spans="1:13" ht="30" customHeight="1" x14ac:dyDescent="0.25">
      <c r="A94" s="26" t="s">
        <v>442</v>
      </c>
      <c r="B94" s="27" t="s">
        <v>287</v>
      </c>
      <c r="C94" s="28" t="s">
        <v>443</v>
      </c>
      <c r="D94" s="29" t="s">
        <v>444</v>
      </c>
      <c r="E94" s="28" t="s">
        <v>445</v>
      </c>
      <c r="F94" s="29" t="s">
        <v>446</v>
      </c>
      <c r="G94" s="30">
        <v>0.14257</v>
      </c>
      <c r="H94" s="32">
        <v>71.284999999999997</v>
      </c>
      <c r="I94" s="33">
        <v>142.57</v>
      </c>
      <c r="J94" s="33">
        <v>285.14</v>
      </c>
      <c r="K94" s="28" t="s">
        <v>43</v>
      </c>
      <c r="L94" s="28"/>
      <c r="M94" s="34"/>
    </row>
    <row r="95" spans="1:13" ht="30" customHeight="1" x14ac:dyDescent="0.25">
      <c r="A95" s="26" t="s">
        <v>447</v>
      </c>
      <c r="B95" s="27" t="s">
        <v>287</v>
      </c>
      <c r="C95" s="28" t="s">
        <v>304</v>
      </c>
      <c r="D95" s="29" t="s">
        <v>448</v>
      </c>
      <c r="E95" s="28" t="s">
        <v>449</v>
      </c>
      <c r="F95" s="29" t="s">
        <v>450</v>
      </c>
      <c r="G95" s="30">
        <v>0.25691000000000003</v>
      </c>
      <c r="H95" s="33">
        <v>128.45500000000001</v>
      </c>
      <c r="I95" s="33">
        <v>256.91000000000003</v>
      </c>
      <c r="J95" s="33">
        <v>513.82000000000005</v>
      </c>
      <c r="K95" s="28" t="s">
        <v>451</v>
      </c>
      <c r="L95" s="28"/>
      <c r="M95" s="34"/>
    </row>
    <row r="96" spans="1:13" ht="38.25" customHeight="1" x14ac:dyDescent="0.25">
      <c r="A96" s="26" t="s">
        <v>452</v>
      </c>
      <c r="B96" s="27" t="s">
        <v>287</v>
      </c>
      <c r="C96" s="28" t="s">
        <v>304</v>
      </c>
      <c r="D96" s="29" t="s">
        <v>453</v>
      </c>
      <c r="E96" s="28" t="s">
        <v>454</v>
      </c>
      <c r="F96" s="29" t="s">
        <v>455</v>
      </c>
      <c r="G96" s="30">
        <v>6.3E-2</v>
      </c>
      <c r="H96" s="31">
        <v>31.5</v>
      </c>
      <c r="I96" s="32">
        <v>63</v>
      </c>
      <c r="J96" s="33">
        <v>126</v>
      </c>
      <c r="K96" s="28" t="s">
        <v>456</v>
      </c>
      <c r="L96" s="28"/>
      <c r="M96" s="34"/>
    </row>
    <row r="97" spans="1:13" ht="38.25" customHeight="1" x14ac:dyDescent="0.25">
      <c r="A97" s="26" t="s">
        <v>457</v>
      </c>
      <c r="B97" s="27" t="s">
        <v>287</v>
      </c>
      <c r="C97" s="28" t="s">
        <v>358</v>
      </c>
      <c r="D97" s="29" t="s">
        <v>458</v>
      </c>
      <c r="E97" s="28" t="s">
        <v>459</v>
      </c>
      <c r="F97" s="29" t="s">
        <v>460</v>
      </c>
      <c r="G97" s="30">
        <v>0.04</v>
      </c>
      <c r="H97" s="31">
        <v>20</v>
      </c>
      <c r="I97" s="31">
        <v>40</v>
      </c>
      <c r="J97" s="32">
        <v>80</v>
      </c>
      <c r="K97" s="28" t="s">
        <v>43</v>
      </c>
      <c r="L97" s="28"/>
      <c r="M97" s="34"/>
    </row>
    <row r="98" spans="1:13" ht="30" customHeight="1" x14ac:dyDescent="0.25">
      <c r="A98" s="26" t="s">
        <v>461</v>
      </c>
      <c r="B98" s="27" t="s">
        <v>287</v>
      </c>
      <c r="C98" s="28" t="s">
        <v>304</v>
      </c>
      <c r="D98" s="29" t="s">
        <v>462</v>
      </c>
      <c r="E98" s="28" t="s">
        <v>463</v>
      </c>
      <c r="F98" s="29" t="s">
        <v>464</v>
      </c>
      <c r="G98" s="30">
        <v>4.5999999999999999E-2</v>
      </c>
      <c r="H98" s="31">
        <v>23</v>
      </c>
      <c r="I98" s="31">
        <v>46</v>
      </c>
      <c r="J98" s="32">
        <v>92</v>
      </c>
      <c r="K98" s="28" t="s">
        <v>465</v>
      </c>
      <c r="L98" s="28"/>
      <c r="M98" s="34"/>
    </row>
    <row r="99" spans="1:13" ht="30" customHeight="1" x14ac:dyDescent="0.25">
      <c r="A99" s="26" t="s">
        <v>466</v>
      </c>
      <c r="B99" s="27" t="s">
        <v>287</v>
      </c>
      <c r="C99" s="28" t="s">
        <v>304</v>
      </c>
      <c r="D99" s="29" t="s">
        <v>467</v>
      </c>
      <c r="E99" s="28" t="s">
        <v>468</v>
      </c>
      <c r="F99" s="29" t="s">
        <v>469</v>
      </c>
      <c r="G99" s="30">
        <v>5.2999999999999999E-2</v>
      </c>
      <c r="H99" s="31">
        <v>26.5</v>
      </c>
      <c r="I99" s="32">
        <v>53</v>
      </c>
      <c r="J99" s="33">
        <v>106</v>
      </c>
      <c r="K99" s="28" t="s">
        <v>470</v>
      </c>
      <c r="L99" s="28"/>
      <c r="M99" s="34"/>
    </row>
    <row r="100" spans="1:13" ht="51" customHeight="1" x14ac:dyDescent="0.25">
      <c r="A100" s="26" t="s">
        <v>471</v>
      </c>
      <c r="B100" s="27" t="s">
        <v>287</v>
      </c>
      <c r="C100" s="28" t="s">
        <v>245</v>
      </c>
      <c r="D100" s="29" t="s">
        <v>472</v>
      </c>
      <c r="E100" s="28" t="s">
        <v>463</v>
      </c>
      <c r="F100" s="29" t="s">
        <v>473</v>
      </c>
      <c r="G100" s="30">
        <v>6.4899999999999999E-2</v>
      </c>
      <c r="H100" s="31">
        <v>32.450000000000003</v>
      </c>
      <c r="I100" s="32">
        <v>64.900000000000006</v>
      </c>
      <c r="J100" s="33">
        <v>129.80000000000001</v>
      </c>
      <c r="K100" s="28" t="s">
        <v>474</v>
      </c>
      <c r="L100" s="28"/>
      <c r="M100" s="34"/>
    </row>
    <row r="101" spans="1:13" ht="30" customHeight="1" x14ac:dyDescent="0.25">
      <c r="A101" s="26" t="s">
        <v>475</v>
      </c>
      <c r="B101" s="27" t="s">
        <v>287</v>
      </c>
      <c r="C101" s="28" t="s">
        <v>304</v>
      </c>
      <c r="D101" s="29" t="s">
        <v>476</v>
      </c>
      <c r="E101" s="28" t="s">
        <v>477</v>
      </c>
      <c r="F101" s="29" t="s">
        <v>478</v>
      </c>
      <c r="G101" s="30">
        <v>5.8999999999999997E-2</v>
      </c>
      <c r="H101" s="31">
        <v>29.5</v>
      </c>
      <c r="I101" s="32">
        <v>59</v>
      </c>
      <c r="J101" s="33">
        <v>118</v>
      </c>
      <c r="K101" s="28" t="s">
        <v>43</v>
      </c>
      <c r="L101" s="28"/>
      <c r="M101" s="34"/>
    </row>
    <row r="102" spans="1:13" ht="30" customHeight="1" x14ac:dyDescent="0.25">
      <c r="A102" s="26" t="s">
        <v>479</v>
      </c>
      <c r="B102" s="27" t="s">
        <v>287</v>
      </c>
      <c r="C102" s="28" t="s">
        <v>304</v>
      </c>
      <c r="D102" s="29" t="s">
        <v>480</v>
      </c>
      <c r="E102" s="28" t="s">
        <v>481</v>
      </c>
      <c r="F102" s="29" t="s">
        <v>482</v>
      </c>
      <c r="G102" s="30">
        <v>0.06</v>
      </c>
      <c r="H102" s="31">
        <v>30</v>
      </c>
      <c r="I102" s="32">
        <v>60</v>
      </c>
      <c r="J102" s="33">
        <v>120</v>
      </c>
      <c r="K102" s="28" t="s">
        <v>43</v>
      </c>
      <c r="L102" s="28"/>
      <c r="M102" s="34"/>
    </row>
    <row r="103" spans="1:13" ht="38.25" customHeight="1" x14ac:dyDescent="0.25">
      <c r="A103" s="26" t="s">
        <v>483</v>
      </c>
      <c r="B103" s="27" t="s">
        <v>287</v>
      </c>
      <c r="C103" s="28" t="s">
        <v>304</v>
      </c>
      <c r="D103" s="29" t="s">
        <v>61</v>
      </c>
      <c r="E103" s="28" t="s">
        <v>484</v>
      </c>
      <c r="F103" s="29" t="s">
        <v>485</v>
      </c>
      <c r="G103" s="30">
        <v>0.10133</v>
      </c>
      <c r="H103" s="32">
        <v>50.664999999999999</v>
      </c>
      <c r="I103" s="33">
        <v>101.33</v>
      </c>
      <c r="J103" s="33">
        <v>202.66</v>
      </c>
      <c r="K103" s="28" t="s">
        <v>486</v>
      </c>
      <c r="L103" s="28"/>
      <c r="M103" s="34"/>
    </row>
    <row r="104" spans="1:13" ht="30" customHeight="1" x14ac:dyDescent="0.25">
      <c r="A104" s="26" t="s">
        <v>487</v>
      </c>
      <c r="B104" s="27" t="s">
        <v>287</v>
      </c>
      <c r="C104" s="28" t="s">
        <v>409</v>
      </c>
      <c r="D104" s="29" t="s">
        <v>488</v>
      </c>
      <c r="E104" s="28" t="s">
        <v>489</v>
      </c>
      <c r="F104" s="29" t="s">
        <v>43</v>
      </c>
      <c r="G104" s="29"/>
      <c r="H104" s="29"/>
      <c r="I104" s="29"/>
      <c r="J104" s="29"/>
      <c r="K104" s="28" t="s">
        <v>490</v>
      </c>
      <c r="L104" s="28"/>
      <c r="M104" s="34"/>
    </row>
    <row r="105" spans="1:13" ht="30" customHeight="1" x14ac:dyDescent="0.25">
      <c r="A105" s="26" t="s">
        <v>491</v>
      </c>
      <c r="B105" s="27" t="s">
        <v>287</v>
      </c>
      <c r="C105" s="28" t="s">
        <v>424</v>
      </c>
      <c r="D105" s="29" t="s">
        <v>368</v>
      </c>
      <c r="E105" s="28" t="s">
        <v>492</v>
      </c>
      <c r="F105" s="29" t="s">
        <v>43</v>
      </c>
      <c r="G105" s="29"/>
      <c r="H105" s="29"/>
      <c r="I105" s="29"/>
      <c r="J105" s="29"/>
      <c r="K105" s="28" t="s">
        <v>493</v>
      </c>
      <c r="L105" s="28"/>
      <c r="M105" s="34"/>
    </row>
    <row r="106" spans="1:13" ht="30" customHeight="1" x14ac:dyDescent="0.25">
      <c r="A106" s="26" t="s">
        <v>494</v>
      </c>
      <c r="B106" s="27" t="s">
        <v>287</v>
      </c>
      <c r="C106" s="28" t="s">
        <v>304</v>
      </c>
      <c r="D106" s="29" t="s">
        <v>495</v>
      </c>
      <c r="E106" s="28" t="s">
        <v>496</v>
      </c>
      <c r="F106" s="29" t="s">
        <v>497</v>
      </c>
      <c r="G106" s="30">
        <v>4.8489999999999998E-2</v>
      </c>
      <c r="H106" s="31">
        <v>24.245000000000001</v>
      </c>
      <c r="I106" s="31">
        <v>48.49</v>
      </c>
      <c r="J106" s="32">
        <v>96.98</v>
      </c>
      <c r="K106" s="28" t="s">
        <v>498</v>
      </c>
      <c r="L106" s="28"/>
      <c r="M106" s="34"/>
    </row>
    <row r="107" spans="1:13" x14ac:dyDescent="0.25">
      <c r="A107" s="100" t="s">
        <v>871</v>
      </c>
      <c r="B107" s="100"/>
      <c r="C107" s="100"/>
      <c r="D107" s="100"/>
      <c r="E107" s="100"/>
      <c r="F107" s="100"/>
      <c r="G107" s="100"/>
      <c r="H107" s="100"/>
      <c r="I107" s="100"/>
      <c r="J107" s="100"/>
      <c r="K107" s="100"/>
      <c r="L107" s="100"/>
      <c r="M107" s="100"/>
    </row>
    <row r="108" spans="1:13" ht="25.5" x14ac:dyDescent="0.25">
      <c r="A108" s="101" t="s">
        <v>499</v>
      </c>
      <c r="B108" s="101" t="s">
        <v>500</v>
      </c>
      <c r="C108" s="101" t="s">
        <v>80</v>
      </c>
      <c r="D108" s="101" t="s">
        <v>156</v>
      </c>
      <c r="E108" s="101"/>
      <c r="F108" s="102" t="s">
        <v>501</v>
      </c>
      <c r="G108" s="103">
        <v>0.39102999999999999</v>
      </c>
      <c r="H108" s="104">
        <v>195.51499999999999</v>
      </c>
      <c r="I108" s="104">
        <v>391.03</v>
      </c>
      <c r="J108" s="104">
        <v>782.06</v>
      </c>
      <c r="K108" s="102" t="s">
        <v>502</v>
      </c>
      <c r="L108" s="101"/>
      <c r="M108" s="101"/>
    </row>
    <row r="109" spans="1:13" ht="25.5" x14ac:dyDescent="0.25">
      <c r="A109" s="101" t="s">
        <v>503</v>
      </c>
      <c r="B109" s="101" t="s">
        <v>500</v>
      </c>
      <c r="C109" s="101"/>
      <c r="D109" s="101" t="s">
        <v>504</v>
      </c>
      <c r="E109" s="101"/>
      <c r="F109" s="102" t="s">
        <v>505</v>
      </c>
      <c r="G109" s="105">
        <v>0.22500000000000001</v>
      </c>
      <c r="H109" s="104">
        <v>195.51499999999999</v>
      </c>
      <c r="I109" s="104">
        <v>225</v>
      </c>
      <c r="J109" s="104">
        <v>450</v>
      </c>
      <c r="K109" s="102" t="s">
        <v>506</v>
      </c>
      <c r="L109" s="101"/>
      <c r="M109" s="101"/>
    </row>
    <row r="110" spans="1:13" ht="89.25" x14ac:dyDescent="0.25">
      <c r="A110" s="101" t="s">
        <v>872</v>
      </c>
      <c r="B110" s="101" t="s">
        <v>873</v>
      </c>
      <c r="C110" s="101" t="s">
        <v>80</v>
      </c>
      <c r="D110" s="101" t="s">
        <v>874</v>
      </c>
      <c r="E110" s="101" t="s">
        <v>902</v>
      </c>
      <c r="F110" s="102" t="s">
        <v>875</v>
      </c>
      <c r="G110" s="105">
        <v>0.15</v>
      </c>
      <c r="H110" s="104"/>
      <c r="I110" s="104"/>
      <c r="J110" s="104"/>
      <c r="K110" s="102" t="s">
        <v>876</v>
      </c>
      <c r="L110" s="101" t="s">
        <v>905</v>
      </c>
      <c r="M110" s="101" t="s">
        <v>903</v>
      </c>
    </row>
    <row r="111" spans="1:13" ht="51" x14ac:dyDescent="0.25">
      <c r="A111" s="101" t="s">
        <v>877</v>
      </c>
      <c r="B111" s="101" t="s">
        <v>873</v>
      </c>
      <c r="C111" s="101"/>
      <c r="D111" s="101" t="s">
        <v>878</v>
      </c>
      <c r="E111" s="101" t="s">
        <v>906</v>
      </c>
      <c r="F111" s="102" t="s">
        <v>879</v>
      </c>
      <c r="G111" s="105">
        <v>-0.44</v>
      </c>
      <c r="H111" s="104"/>
      <c r="I111" s="104"/>
      <c r="J111" s="104"/>
      <c r="K111" s="102"/>
      <c r="L111" s="101" t="s">
        <v>880</v>
      </c>
      <c r="M111" s="101" t="s">
        <v>904</v>
      </c>
    </row>
    <row r="112" spans="1:13" ht="38.25" x14ac:dyDescent="0.25">
      <c r="A112" s="106" t="s">
        <v>881</v>
      </c>
      <c r="B112" s="106" t="s">
        <v>873</v>
      </c>
      <c r="D112" s="106" t="s">
        <v>878</v>
      </c>
      <c r="E112" s="106" t="s">
        <v>882</v>
      </c>
      <c r="F112" s="107" t="s">
        <v>883</v>
      </c>
      <c r="G112" s="108">
        <v>0.17</v>
      </c>
      <c r="L112" s="101" t="s">
        <v>884</v>
      </c>
    </row>
    <row r="113" spans="1:13" ht="51" x14ac:dyDescent="0.25">
      <c r="A113" s="106" t="s">
        <v>885</v>
      </c>
      <c r="B113" s="106" t="s">
        <v>886</v>
      </c>
      <c r="C113" s="106" t="s">
        <v>888</v>
      </c>
      <c r="D113" s="106" t="s">
        <v>887</v>
      </c>
      <c r="E113" s="106" t="s">
        <v>891</v>
      </c>
      <c r="F113" s="107" t="s">
        <v>889</v>
      </c>
      <c r="L113" s="109" t="s">
        <v>890</v>
      </c>
      <c r="M113" s="110" t="s">
        <v>911</v>
      </c>
    </row>
  </sheetData>
  <autoFilter ref="A3:M3" xr:uid="{00000000-0009-0000-0000-000001000000}"/>
  <mergeCells count="5">
    <mergeCell ref="A56:O56"/>
    <mergeCell ref="A2:O2"/>
    <mergeCell ref="A1:O1"/>
    <mergeCell ref="A4:O4"/>
    <mergeCell ref="A21:O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B1FA2"/>
  </sheetPr>
  <dimension ref="A1:Q63"/>
  <sheetViews>
    <sheetView zoomScaleNormal="100" workbookViewId="0">
      <pane xSplit="1" ySplit="6" topLeftCell="B13" activePane="bottomRight" state="frozen"/>
      <selection pane="topRight" activeCell="B1" sqref="B1"/>
      <selection pane="bottomLeft" activeCell="A7" sqref="A7"/>
      <selection pane="bottomRight" activeCell="D5" sqref="D5"/>
    </sheetView>
  </sheetViews>
  <sheetFormatPr defaultColWidth="8.7109375" defaultRowHeight="15" x14ac:dyDescent="0.25"/>
  <cols>
    <col min="1" max="1" width="30" customWidth="1"/>
    <col min="2" max="2" width="10" customWidth="1"/>
    <col min="3" max="3" width="14" customWidth="1"/>
    <col min="4" max="17" width="10" customWidth="1"/>
  </cols>
  <sheetData>
    <row r="1" spans="1:17" ht="31.5" customHeight="1" x14ac:dyDescent="0.25">
      <c r="A1" s="114" t="s">
        <v>521</v>
      </c>
      <c r="B1" s="112"/>
      <c r="C1" s="112"/>
      <c r="D1" s="112"/>
      <c r="E1" s="112"/>
      <c r="F1" s="112"/>
      <c r="G1" s="112"/>
      <c r="H1" s="112"/>
      <c r="I1" s="112"/>
      <c r="J1" s="112"/>
      <c r="K1" s="112"/>
      <c r="L1" s="112"/>
      <c r="M1" s="112"/>
      <c r="N1" s="112"/>
      <c r="O1" s="112"/>
      <c r="P1" s="112"/>
    </row>
    <row r="2" spans="1:17" ht="21.75" customHeight="1" x14ac:dyDescent="0.25">
      <c r="A2" s="120" t="s">
        <v>522</v>
      </c>
      <c r="B2" s="112"/>
      <c r="C2" s="112"/>
      <c r="D2" s="112"/>
      <c r="E2" s="112"/>
      <c r="F2" s="112"/>
      <c r="G2" s="112"/>
      <c r="H2" s="112"/>
      <c r="I2" s="112"/>
      <c r="J2" s="112"/>
      <c r="K2" s="112"/>
      <c r="L2" s="112"/>
      <c r="M2" s="112"/>
      <c r="N2" s="112"/>
      <c r="O2" s="112"/>
      <c r="P2" s="112"/>
    </row>
    <row r="4" spans="1:17" ht="27.75" customHeight="1" x14ac:dyDescent="0.25">
      <c r="A4" s="119" t="s">
        <v>523</v>
      </c>
      <c r="B4" s="112"/>
      <c r="C4" s="112"/>
      <c r="D4" s="35">
        <v>197</v>
      </c>
      <c r="E4" s="118" t="s">
        <v>524</v>
      </c>
      <c r="F4" s="112"/>
      <c r="G4" s="112"/>
      <c r="H4" s="112"/>
    </row>
    <row r="6" spans="1:17" ht="31.5" customHeight="1" x14ac:dyDescent="0.25">
      <c r="A6" s="7" t="s">
        <v>2</v>
      </c>
      <c r="B6" s="7" t="s">
        <v>3</v>
      </c>
      <c r="C6" s="7" t="s">
        <v>525</v>
      </c>
      <c r="D6" s="7" t="s">
        <v>526</v>
      </c>
      <c r="E6" s="7" t="s">
        <v>527</v>
      </c>
      <c r="F6" s="7" t="s">
        <v>528</v>
      </c>
      <c r="G6" s="7" t="s">
        <v>529</v>
      </c>
      <c r="H6" s="7" t="s">
        <v>530</v>
      </c>
      <c r="I6" s="7" t="s">
        <v>531</v>
      </c>
      <c r="J6" s="7" t="s">
        <v>532</v>
      </c>
      <c r="K6" s="7" t="s">
        <v>533</v>
      </c>
      <c r="L6" s="7" t="s">
        <v>534</v>
      </c>
      <c r="M6" s="7" t="s">
        <v>535</v>
      </c>
      <c r="N6" s="7" t="s">
        <v>536</v>
      </c>
      <c r="O6" s="7" t="s">
        <v>537</v>
      </c>
      <c r="P6" s="7" t="s">
        <v>538</v>
      </c>
      <c r="Q6" s="7" t="s">
        <v>539</v>
      </c>
    </row>
    <row r="7" spans="1:17" ht="21.75" customHeight="1" x14ac:dyDescent="0.25">
      <c r="A7" s="36" t="s">
        <v>16</v>
      </c>
      <c r="B7" s="37" t="s">
        <v>17</v>
      </c>
      <c r="C7" s="38" t="s">
        <v>21</v>
      </c>
      <c r="D7" s="39">
        <v>0.31664999999999999</v>
      </c>
      <c r="E7" s="40">
        <f>$D4*0.31665</f>
        <v>62.380049999999997</v>
      </c>
      <c r="F7" s="41" t="s">
        <v>43</v>
      </c>
      <c r="G7" s="41" t="s">
        <v>43</v>
      </c>
      <c r="H7" s="42">
        <f>$D4*0.0679</f>
        <v>13.376300000000001</v>
      </c>
      <c r="I7" s="42">
        <f>$D4*0.04386</f>
        <v>8.6404200000000007</v>
      </c>
      <c r="J7" s="41" t="s">
        <v>43</v>
      </c>
      <c r="K7" s="42">
        <f>$D4*0.01781</f>
        <v>3.5085699999999997</v>
      </c>
      <c r="L7" s="42">
        <f>$D4*0.02485</f>
        <v>4.8954500000000003</v>
      </c>
      <c r="M7" s="41" t="s">
        <v>43</v>
      </c>
      <c r="N7" s="41" t="s">
        <v>43</v>
      </c>
      <c r="O7" s="41" t="s">
        <v>43</v>
      </c>
      <c r="P7" s="41" t="s">
        <v>43</v>
      </c>
      <c r="Q7" s="41" t="s">
        <v>43</v>
      </c>
    </row>
    <row r="8" spans="1:17" ht="21.75" customHeight="1" x14ac:dyDescent="0.25">
      <c r="A8" s="36" t="s">
        <v>25</v>
      </c>
      <c r="B8" s="37" t="s">
        <v>17</v>
      </c>
      <c r="C8" s="38" t="s">
        <v>29</v>
      </c>
      <c r="D8" s="39">
        <v>0.29736000000000001</v>
      </c>
      <c r="E8" s="42">
        <f>$D4*0.01</f>
        <v>1.97</v>
      </c>
      <c r="F8" s="40">
        <f>$D4*0.17885</f>
        <v>35.233450000000005</v>
      </c>
      <c r="G8" s="40">
        <f>$D4*0.29736</f>
        <v>58.579920000000001</v>
      </c>
      <c r="H8" s="42">
        <f>$D4*0.06158</f>
        <v>12.131260000000001</v>
      </c>
      <c r="I8" s="41" t="s">
        <v>43</v>
      </c>
      <c r="J8" s="41" t="s">
        <v>43</v>
      </c>
      <c r="K8" s="41" t="s">
        <v>43</v>
      </c>
      <c r="L8" s="41" t="s">
        <v>43</v>
      </c>
      <c r="M8" s="43">
        <f>$D4*-0.079</f>
        <v>-15.563000000000001</v>
      </c>
      <c r="N8" s="41" t="s">
        <v>43</v>
      </c>
      <c r="O8" s="41" t="s">
        <v>43</v>
      </c>
      <c r="P8" s="41" t="s">
        <v>43</v>
      </c>
      <c r="Q8" s="41" t="s">
        <v>43</v>
      </c>
    </row>
    <row r="9" spans="1:17" ht="21.75" customHeight="1" x14ac:dyDescent="0.25">
      <c r="A9" s="36" t="s">
        <v>32</v>
      </c>
      <c r="B9" s="37" t="s">
        <v>17</v>
      </c>
      <c r="C9" s="38" t="s">
        <v>36</v>
      </c>
      <c r="D9" s="39">
        <v>0.5</v>
      </c>
      <c r="E9" s="42">
        <f>$D4*0.032</f>
        <v>6.3040000000000003</v>
      </c>
      <c r="F9" s="41" t="s">
        <v>43</v>
      </c>
      <c r="G9" s="41" t="s">
        <v>43</v>
      </c>
      <c r="H9" s="41" t="s">
        <v>43</v>
      </c>
      <c r="I9" s="41" t="s">
        <v>43</v>
      </c>
      <c r="J9" s="40">
        <f>$D4*0.5</f>
        <v>98.5</v>
      </c>
      <c r="K9" s="42">
        <f>$D4*0.02</f>
        <v>3.94</v>
      </c>
      <c r="L9" s="42">
        <f>$D4*0.02</f>
        <v>3.94</v>
      </c>
      <c r="M9" s="41" t="s">
        <v>43</v>
      </c>
      <c r="N9" s="41" t="s">
        <v>43</v>
      </c>
      <c r="O9" s="41" t="s">
        <v>43</v>
      </c>
      <c r="P9" s="41" t="s">
        <v>43</v>
      </c>
      <c r="Q9" s="41" t="s">
        <v>43</v>
      </c>
    </row>
    <row r="10" spans="1:17" ht="21.75" customHeight="1" x14ac:dyDescent="0.25">
      <c r="A10" s="36" t="s">
        <v>286</v>
      </c>
      <c r="B10" s="37" t="s">
        <v>17</v>
      </c>
      <c r="C10" s="38" t="s">
        <v>291</v>
      </c>
      <c r="D10" s="39">
        <v>0.08</v>
      </c>
      <c r="E10" s="42">
        <f>$D4*0.042</f>
        <v>8.2740000000000009</v>
      </c>
      <c r="F10" s="42">
        <f>$D4*0.08</f>
        <v>15.76</v>
      </c>
      <c r="G10" s="42">
        <f>$D4*0.079</f>
        <v>15.563000000000001</v>
      </c>
      <c r="H10" s="42">
        <f>$D4*0.067</f>
        <v>13.199000000000002</v>
      </c>
      <c r="I10" s="42">
        <f>$D4*0.075</f>
        <v>14.774999999999999</v>
      </c>
      <c r="J10" s="42">
        <f>$D4*0.058</f>
        <v>11.426</v>
      </c>
      <c r="K10" s="42">
        <f>$D4*0.037</f>
        <v>7.2889999999999997</v>
      </c>
      <c r="L10" s="42">
        <f>$D4*0.039</f>
        <v>7.6829999999999998</v>
      </c>
      <c r="M10" s="42">
        <f>$D4*0.052</f>
        <v>10.244</v>
      </c>
      <c r="N10" s="43">
        <f>$D4*-0.09</f>
        <v>-17.73</v>
      </c>
      <c r="O10" s="42">
        <f>$D4*0.023</f>
        <v>4.5309999999999997</v>
      </c>
      <c r="P10" s="41" t="s">
        <v>43</v>
      </c>
      <c r="Q10" s="42">
        <f>$D4*0.02</f>
        <v>3.94</v>
      </c>
    </row>
    <row r="11" spans="1:17" ht="21.75" customHeight="1" x14ac:dyDescent="0.25">
      <c r="A11" s="36" t="s">
        <v>39</v>
      </c>
      <c r="B11" s="37" t="s">
        <v>17</v>
      </c>
      <c r="C11" s="38" t="s">
        <v>42</v>
      </c>
      <c r="D11" s="39">
        <v>0.46755000000000002</v>
      </c>
      <c r="E11" s="41" t="s">
        <v>43</v>
      </c>
      <c r="F11" s="42">
        <f>$D4*0.015</f>
        <v>2.9550000000000001</v>
      </c>
      <c r="G11" s="42">
        <f>$D4*0.015</f>
        <v>2.9550000000000001</v>
      </c>
      <c r="H11" s="41" t="s">
        <v>43</v>
      </c>
      <c r="I11" s="41" t="s">
        <v>43</v>
      </c>
      <c r="J11" s="40">
        <f>$D4*0.46755</f>
        <v>92.107350000000011</v>
      </c>
      <c r="K11" s="41" t="s">
        <v>43</v>
      </c>
      <c r="L11" s="41" t="s">
        <v>43</v>
      </c>
      <c r="M11" s="42">
        <f>$D4*0.015</f>
        <v>2.9550000000000001</v>
      </c>
      <c r="N11" s="41" t="s">
        <v>43</v>
      </c>
      <c r="O11" s="41" t="s">
        <v>43</v>
      </c>
      <c r="P11" s="41" t="s">
        <v>43</v>
      </c>
      <c r="Q11" s="41" t="s">
        <v>43</v>
      </c>
    </row>
    <row r="12" spans="1:17" ht="21.75" customHeight="1" x14ac:dyDescent="0.25">
      <c r="A12" s="36" t="s">
        <v>280</v>
      </c>
      <c r="B12" s="37" t="s">
        <v>17</v>
      </c>
      <c r="C12" s="38" t="s">
        <v>283</v>
      </c>
      <c r="D12" s="39">
        <v>0.28025</v>
      </c>
      <c r="E12" s="41" t="s">
        <v>43</v>
      </c>
      <c r="F12" s="40">
        <f>$D4*0.17261</f>
        <v>34.004170000000002</v>
      </c>
      <c r="G12" s="40">
        <f>$D4*0.28025</f>
        <v>55.209249999999997</v>
      </c>
      <c r="H12" s="42">
        <f>$D4*0.07</f>
        <v>13.790000000000001</v>
      </c>
      <c r="I12" s="42">
        <f>$D4*0.09648</f>
        <v>19.00656</v>
      </c>
      <c r="J12" s="41" t="s">
        <v>43</v>
      </c>
      <c r="K12" s="41" t="s">
        <v>43</v>
      </c>
      <c r="L12" s="41" t="s">
        <v>43</v>
      </c>
      <c r="M12" s="43">
        <f>$D4*-0.08</f>
        <v>-15.76</v>
      </c>
      <c r="N12" s="41" t="s">
        <v>43</v>
      </c>
      <c r="O12" s="41" t="s">
        <v>43</v>
      </c>
      <c r="P12" s="41" t="s">
        <v>43</v>
      </c>
      <c r="Q12" s="41" t="s">
        <v>43</v>
      </c>
    </row>
    <row r="13" spans="1:17" ht="21.75" customHeight="1" x14ac:dyDescent="0.25">
      <c r="A13" s="36" t="s">
        <v>44</v>
      </c>
      <c r="B13" s="37" t="s">
        <v>17</v>
      </c>
      <c r="C13" s="38" t="s">
        <v>47</v>
      </c>
      <c r="D13" s="39">
        <v>0.19395999999999999</v>
      </c>
      <c r="E13" s="43">
        <f>$D4*-0.66</f>
        <v>-130.02000000000001</v>
      </c>
      <c r="F13" s="42">
        <f>$D4*0.07514</f>
        <v>14.802579999999999</v>
      </c>
      <c r="G13" s="42">
        <f>$D4*0.13067</f>
        <v>25.741990000000001</v>
      </c>
      <c r="H13" s="43">
        <f>$D4*-0.23</f>
        <v>-45.31</v>
      </c>
      <c r="I13" s="43">
        <f>$D4*-0.07</f>
        <v>-13.790000000000001</v>
      </c>
      <c r="J13" s="43">
        <f>$D4*-0.3</f>
        <v>-59.099999999999994</v>
      </c>
      <c r="K13" s="43">
        <f>$D4*-0.718</f>
        <v>-141.446</v>
      </c>
      <c r="L13" s="43">
        <f>$D4*-0.716</f>
        <v>-141.05199999999999</v>
      </c>
      <c r="M13" s="40">
        <f>$D4*0.15332</f>
        <v>30.204040000000003</v>
      </c>
      <c r="N13" s="40">
        <f>$D4*0.17937</f>
        <v>35.335889999999999</v>
      </c>
      <c r="O13" s="43">
        <f>$D4*-0.513</f>
        <v>-101.06100000000001</v>
      </c>
      <c r="P13" s="40">
        <f>$D4*0.19396</f>
        <v>38.210119999999996</v>
      </c>
      <c r="Q13" s="43">
        <f>$D4*-0.558</f>
        <v>-109.92600000000002</v>
      </c>
    </row>
    <row r="14" spans="1:17" ht="21.75" customHeight="1" x14ac:dyDescent="0.25">
      <c r="A14" s="36" t="s">
        <v>49</v>
      </c>
      <c r="B14" s="37" t="s">
        <v>17</v>
      </c>
      <c r="C14" s="38" t="s">
        <v>52</v>
      </c>
      <c r="D14" s="39">
        <v>0.21329000000000001</v>
      </c>
      <c r="E14" s="42">
        <f>$D4*0.07</f>
        <v>13.790000000000001</v>
      </c>
      <c r="F14" s="43">
        <f>$D4*-0.02</f>
        <v>-3.94</v>
      </c>
      <c r="G14" s="43">
        <f>$D4*-0.02</f>
        <v>-3.94</v>
      </c>
      <c r="H14" s="42">
        <f>$D4*0.02</f>
        <v>3.94</v>
      </c>
      <c r="I14" s="42">
        <f>$D4*0.02</f>
        <v>3.94</v>
      </c>
      <c r="J14" s="43">
        <f>$D4*-0.02</f>
        <v>-3.94</v>
      </c>
      <c r="K14" s="40">
        <f>$D4*0.21329</f>
        <v>42.018129999999999</v>
      </c>
      <c r="L14" s="40">
        <f>$D4*0.20412</f>
        <v>40.211640000000003</v>
      </c>
      <c r="M14" s="43">
        <f>$D4*-0.02</f>
        <v>-3.94</v>
      </c>
      <c r="N14" s="43">
        <f>$D4*-0.02</f>
        <v>-3.94</v>
      </c>
      <c r="O14" s="43">
        <f>$D4*-0.02</f>
        <v>-3.94</v>
      </c>
      <c r="P14" s="43">
        <f>$D4*-0.02</f>
        <v>-3.94</v>
      </c>
      <c r="Q14" s="43">
        <f>$D4*-0.02</f>
        <v>-3.94</v>
      </c>
    </row>
    <row r="15" spans="1:17" ht="21.75" customHeight="1" x14ac:dyDescent="0.25">
      <c r="A15" s="36" t="s">
        <v>54</v>
      </c>
      <c r="B15" s="37" t="s">
        <v>17</v>
      </c>
      <c r="C15" s="38" t="s">
        <v>57</v>
      </c>
      <c r="D15" s="39">
        <v>0.04</v>
      </c>
      <c r="E15" s="41" t="s">
        <v>43</v>
      </c>
      <c r="F15" s="43">
        <f>$D4*-0.08556</f>
        <v>-16.855319999999999</v>
      </c>
      <c r="G15" s="43">
        <f>$D4*-0.13778</f>
        <v>-27.142660000000003</v>
      </c>
      <c r="H15" s="41" t="s">
        <v>43</v>
      </c>
      <c r="I15" s="41" t="s">
        <v>43</v>
      </c>
      <c r="J15" s="42">
        <f>$D4*0.04</f>
        <v>7.88</v>
      </c>
      <c r="K15" s="41" t="s">
        <v>43</v>
      </c>
      <c r="L15" s="41" t="s">
        <v>43</v>
      </c>
      <c r="M15" s="43">
        <f>$D4*-0.19625</f>
        <v>-38.661250000000003</v>
      </c>
      <c r="N15" s="41" t="s">
        <v>43</v>
      </c>
      <c r="O15" s="41" t="s">
        <v>43</v>
      </c>
      <c r="P15" s="41" t="s">
        <v>43</v>
      </c>
      <c r="Q15" s="41" t="s">
        <v>43</v>
      </c>
    </row>
    <row r="16" spans="1:17" ht="21.75" customHeight="1" x14ac:dyDescent="0.25">
      <c r="A16" s="36" t="s">
        <v>64</v>
      </c>
      <c r="B16" s="37" t="s">
        <v>17</v>
      </c>
      <c r="C16" s="38" t="s">
        <v>66</v>
      </c>
      <c r="D16" s="39">
        <v>0.26</v>
      </c>
      <c r="E16" s="41" t="s">
        <v>43</v>
      </c>
      <c r="F16" s="40">
        <f>$D4*0.26</f>
        <v>51.22</v>
      </c>
      <c r="G16" s="43">
        <f>$D4*-0.09</f>
        <v>-17.73</v>
      </c>
      <c r="H16" s="42">
        <f>$D4*0.08633</f>
        <v>17.007010000000001</v>
      </c>
      <c r="I16" s="42">
        <f>$D4*0.12</f>
        <v>23.64</v>
      </c>
      <c r="J16" s="41" t="s">
        <v>43</v>
      </c>
      <c r="K16" s="41" t="s">
        <v>43</v>
      </c>
      <c r="L16" s="41" t="s">
        <v>43</v>
      </c>
      <c r="M16" s="43">
        <f>$D4*-0.06</f>
        <v>-11.82</v>
      </c>
      <c r="N16" s="41" t="s">
        <v>43</v>
      </c>
      <c r="O16" s="41" t="s">
        <v>43</v>
      </c>
      <c r="P16" s="41" t="s">
        <v>43</v>
      </c>
      <c r="Q16" s="41" t="s">
        <v>43</v>
      </c>
    </row>
    <row r="17" spans="1:17" ht="21.75" customHeight="1" x14ac:dyDescent="0.25">
      <c r="A17" s="36" t="s">
        <v>68</v>
      </c>
      <c r="B17" s="37" t="s">
        <v>17</v>
      </c>
      <c r="C17" s="38" t="s">
        <v>71</v>
      </c>
      <c r="D17" s="39">
        <v>0.3</v>
      </c>
      <c r="E17" s="42">
        <f>$D4*0.1</f>
        <v>19.700000000000003</v>
      </c>
      <c r="F17" s="41" t="s">
        <v>43</v>
      </c>
      <c r="G17" s="41" t="s">
        <v>43</v>
      </c>
      <c r="H17" s="41" t="s">
        <v>43</v>
      </c>
      <c r="I17" s="41" t="s">
        <v>43</v>
      </c>
      <c r="J17" s="41" t="s">
        <v>43</v>
      </c>
      <c r="K17" s="40">
        <f>$D4*0.3</f>
        <v>59.099999999999994</v>
      </c>
      <c r="L17" s="40">
        <f>$D4*0.27037</f>
        <v>53.262889999999999</v>
      </c>
      <c r="M17" s="41" t="s">
        <v>43</v>
      </c>
      <c r="N17" s="43">
        <f>$D4*-0.05</f>
        <v>-9.8500000000000014</v>
      </c>
      <c r="O17" s="43">
        <f>$D4*-0.08</f>
        <v>-15.76</v>
      </c>
      <c r="P17" s="43">
        <f>$D4*-0.06</f>
        <v>-11.82</v>
      </c>
      <c r="Q17" s="43">
        <f>$D4*-0.07</f>
        <v>-13.790000000000001</v>
      </c>
    </row>
    <row r="18" spans="1:17" ht="21.75" customHeight="1" x14ac:dyDescent="0.25">
      <c r="A18" s="36" t="s">
        <v>269</v>
      </c>
      <c r="B18" s="37" t="s">
        <v>17</v>
      </c>
      <c r="C18" s="38" t="s">
        <v>273</v>
      </c>
      <c r="D18" s="39">
        <v>0.32385999999999998</v>
      </c>
      <c r="E18" s="41" t="s">
        <v>43</v>
      </c>
      <c r="F18" s="40">
        <f>$D4*0.21816</f>
        <v>42.977519999999998</v>
      </c>
      <c r="G18" s="40">
        <f>$D4*0.32386</f>
        <v>63.800419999999995</v>
      </c>
      <c r="H18" s="42">
        <f>$D4*0.07</f>
        <v>13.790000000000001</v>
      </c>
      <c r="I18" s="42">
        <f>$D4*0.07</f>
        <v>13.790000000000001</v>
      </c>
      <c r="J18" s="41" t="s">
        <v>43</v>
      </c>
      <c r="K18" s="41" t="s">
        <v>43</v>
      </c>
      <c r="L18" s="41" t="s">
        <v>43</v>
      </c>
      <c r="M18" s="43">
        <f>$D4*-0.07</f>
        <v>-13.790000000000001</v>
      </c>
      <c r="N18" s="41" t="s">
        <v>43</v>
      </c>
      <c r="O18" s="41" t="s">
        <v>43</v>
      </c>
      <c r="P18" s="41" t="s">
        <v>43</v>
      </c>
      <c r="Q18" s="41" t="s">
        <v>43</v>
      </c>
    </row>
    <row r="19" spans="1:17" ht="21.75" customHeight="1" x14ac:dyDescent="0.25">
      <c r="A19" s="36" t="s">
        <v>85</v>
      </c>
      <c r="B19" s="37" t="s">
        <v>17</v>
      </c>
      <c r="C19" s="38" t="s">
        <v>540</v>
      </c>
      <c r="D19" s="39">
        <v>0.40350000000000003</v>
      </c>
      <c r="E19" s="42">
        <f>$D4*0.05</f>
        <v>9.8500000000000014</v>
      </c>
      <c r="F19" s="43">
        <f>$D4*-0.094</f>
        <v>-18.518000000000001</v>
      </c>
      <c r="G19" s="43">
        <f>$D4*-0.044</f>
        <v>-8.6679999999999993</v>
      </c>
      <c r="H19" s="40">
        <f>$D4*0.4035</f>
        <v>79.489500000000007</v>
      </c>
      <c r="I19" s="43">
        <f>$D4*-0.2614</f>
        <v>-51.495800000000003</v>
      </c>
      <c r="J19" s="41" t="s">
        <v>43</v>
      </c>
      <c r="K19" s="41" t="s">
        <v>43</v>
      </c>
      <c r="L19" s="41" t="s">
        <v>43</v>
      </c>
      <c r="M19" s="41" t="s">
        <v>43</v>
      </c>
      <c r="N19" s="41" t="s">
        <v>43</v>
      </c>
      <c r="O19" s="41" t="s">
        <v>43</v>
      </c>
      <c r="P19" s="41" t="s">
        <v>43</v>
      </c>
      <c r="Q19" s="41" t="s">
        <v>43</v>
      </c>
    </row>
    <row r="20" spans="1:17" ht="21.75" customHeight="1" x14ac:dyDescent="0.25">
      <c r="A20" s="36" t="s">
        <v>275</v>
      </c>
      <c r="B20" s="37" t="s">
        <v>17</v>
      </c>
      <c r="C20" s="38" t="s">
        <v>278</v>
      </c>
      <c r="D20" s="39">
        <v>0.11</v>
      </c>
      <c r="E20" s="41" t="s">
        <v>43</v>
      </c>
      <c r="F20" s="42">
        <f>$D4*0.1</f>
        <v>19.700000000000003</v>
      </c>
      <c r="G20" s="42">
        <f>$D4*0.11</f>
        <v>21.67</v>
      </c>
      <c r="H20" s="42">
        <f>$D4*0.07</f>
        <v>13.790000000000001</v>
      </c>
      <c r="I20" s="42">
        <f>$D4*0.09</f>
        <v>17.73</v>
      </c>
      <c r="J20" s="41" t="s">
        <v>43</v>
      </c>
      <c r="K20" s="43">
        <f>$D4*-0.04</f>
        <v>-7.88</v>
      </c>
      <c r="L20" s="43">
        <f>$D4*-0.04</f>
        <v>-7.88</v>
      </c>
      <c r="M20" s="42">
        <f>$D4*0.11</f>
        <v>21.67</v>
      </c>
      <c r="N20" s="41" t="s">
        <v>43</v>
      </c>
      <c r="O20" s="43">
        <f>$D4*-0.06</f>
        <v>-11.82</v>
      </c>
      <c r="P20" s="43">
        <f>$D4*-0.074</f>
        <v>-14.577999999999999</v>
      </c>
      <c r="Q20" s="43">
        <f>$D4*-0.065</f>
        <v>-12.805</v>
      </c>
    </row>
    <row r="21" spans="1:17" ht="21.75" customHeight="1" x14ac:dyDescent="0.25">
      <c r="A21" s="36" t="s">
        <v>90</v>
      </c>
      <c r="B21" s="37" t="s">
        <v>17</v>
      </c>
      <c r="C21" s="38" t="s">
        <v>52</v>
      </c>
      <c r="D21" s="39">
        <v>0.21299999999999999</v>
      </c>
      <c r="E21" s="42">
        <f>$D4*0.08</f>
        <v>15.76</v>
      </c>
      <c r="F21" s="41" t="s">
        <v>43</v>
      </c>
      <c r="G21" s="41" t="s">
        <v>43</v>
      </c>
      <c r="H21" s="41" t="s">
        <v>43</v>
      </c>
      <c r="I21" s="41" t="s">
        <v>43</v>
      </c>
      <c r="J21" s="41" t="s">
        <v>43</v>
      </c>
      <c r="K21" s="40">
        <f>$D4*0.213</f>
        <v>41.960999999999999</v>
      </c>
      <c r="L21" s="40">
        <f>$D4*0.2</f>
        <v>39.400000000000006</v>
      </c>
      <c r="M21" s="41" t="s">
        <v>43</v>
      </c>
      <c r="N21" s="41" t="s">
        <v>43</v>
      </c>
      <c r="O21" s="41" t="s">
        <v>43</v>
      </c>
      <c r="P21" s="41" t="s">
        <v>43</v>
      </c>
      <c r="Q21" s="41" t="s">
        <v>43</v>
      </c>
    </row>
    <row r="22" spans="1:17" ht="21.75" customHeight="1" x14ac:dyDescent="0.25">
      <c r="A22" s="36" t="s">
        <v>93</v>
      </c>
      <c r="B22" s="37" t="s">
        <v>17</v>
      </c>
      <c r="C22" s="38" t="s">
        <v>43</v>
      </c>
      <c r="D22" s="44"/>
      <c r="E22" s="41" t="s">
        <v>43</v>
      </c>
      <c r="F22" s="41" t="s">
        <v>43</v>
      </c>
      <c r="G22" s="41" t="s">
        <v>43</v>
      </c>
      <c r="H22" s="41" t="s">
        <v>43</v>
      </c>
      <c r="I22" s="41" t="s">
        <v>43</v>
      </c>
      <c r="J22" s="43">
        <f>$D4*-0.5</f>
        <v>-98.5</v>
      </c>
      <c r="K22" s="41" t="s">
        <v>43</v>
      </c>
      <c r="L22" s="41" t="s">
        <v>43</v>
      </c>
      <c r="M22" s="41" t="s">
        <v>43</v>
      </c>
      <c r="N22" s="41" t="s">
        <v>43</v>
      </c>
      <c r="O22" s="41" t="s">
        <v>43</v>
      </c>
      <c r="P22" s="41" t="s">
        <v>43</v>
      </c>
      <c r="Q22" s="41" t="s">
        <v>43</v>
      </c>
    </row>
    <row r="23" spans="1:17" ht="21.75" customHeight="1" x14ac:dyDescent="0.25">
      <c r="A23" s="36" t="s">
        <v>100</v>
      </c>
      <c r="B23" s="37" t="s">
        <v>101</v>
      </c>
      <c r="C23" s="38" t="s">
        <v>43</v>
      </c>
      <c r="D23" s="44"/>
      <c r="E23" s="41" t="s">
        <v>43</v>
      </c>
      <c r="F23" s="41" t="s">
        <v>43</v>
      </c>
      <c r="G23" s="41" t="s">
        <v>43</v>
      </c>
      <c r="H23" s="41" t="s">
        <v>43</v>
      </c>
      <c r="I23" s="41" t="s">
        <v>43</v>
      </c>
      <c r="J23" s="41" t="s">
        <v>43</v>
      </c>
      <c r="K23" s="41" t="s">
        <v>43</v>
      </c>
      <c r="L23" s="41" t="s">
        <v>43</v>
      </c>
      <c r="M23" s="41" t="s">
        <v>43</v>
      </c>
      <c r="N23" s="41" t="s">
        <v>43</v>
      </c>
      <c r="O23" s="41" t="s">
        <v>43</v>
      </c>
      <c r="P23" s="41" t="s">
        <v>43</v>
      </c>
      <c r="Q23" s="41" t="s">
        <v>43</v>
      </c>
    </row>
    <row r="24" spans="1:17" ht="21.75" customHeight="1" x14ac:dyDescent="0.25">
      <c r="A24" s="45" t="s">
        <v>103</v>
      </c>
      <c r="B24" s="46" t="s">
        <v>60</v>
      </c>
      <c r="C24" s="47" t="s">
        <v>106</v>
      </c>
      <c r="D24" s="48">
        <v>0.76981999999999995</v>
      </c>
      <c r="E24" s="49" t="s">
        <v>43</v>
      </c>
      <c r="F24" s="50">
        <f>$D4*0.76982</f>
        <v>151.65454</v>
      </c>
      <c r="G24" s="50">
        <f>$D4*0.17245</f>
        <v>33.972650000000002</v>
      </c>
      <c r="H24" s="51">
        <f>$D4*-0.09</f>
        <v>-17.73</v>
      </c>
      <c r="I24" s="51">
        <f>$D4*-0.116</f>
        <v>-22.852</v>
      </c>
      <c r="J24" s="49" t="s">
        <v>43</v>
      </c>
      <c r="K24" s="49" t="s">
        <v>43</v>
      </c>
      <c r="L24" s="49" t="s">
        <v>43</v>
      </c>
      <c r="M24" s="49" t="s">
        <v>43</v>
      </c>
      <c r="N24" s="49" t="s">
        <v>43</v>
      </c>
      <c r="O24" s="49" t="s">
        <v>43</v>
      </c>
      <c r="P24" s="49" t="s">
        <v>43</v>
      </c>
      <c r="Q24" s="49" t="s">
        <v>43</v>
      </c>
    </row>
    <row r="25" spans="1:17" ht="21.75" customHeight="1" x14ac:dyDescent="0.25">
      <c r="A25" s="45" t="s">
        <v>108</v>
      </c>
      <c r="B25" s="46" t="s">
        <v>60</v>
      </c>
      <c r="C25" s="47" t="s">
        <v>112</v>
      </c>
      <c r="D25" s="48">
        <v>0.17348</v>
      </c>
      <c r="E25" s="49" t="s">
        <v>43</v>
      </c>
      <c r="F25" s="49" t="s">
        <v>43</v>
      </c>
      <c r="G25" s="49" t="s">
        <v>43</v>
      </c>
      <c r="H25" s="49" t="s">
        <v>43</v>
      </c>
      <c r="I25" s="49" t="s">
        <v>43</v>
      </c>
      <c r="J25" s="49" t="s">
        <v>43</v>
      </c>
      <c r="K25" s="49" t="s">
        <v>43</v>
      </c>
      <c r="L25" s="49" t="s">
        <v>43</v>
      </c>
      <c r="M25" s="49" t="s">
        <v>43</v>
      </c>
      <c r="N25" s="49" t="s">
        <v>43</v>
      </c>
      <c r="O25" s="50">
        <f>$D4*0.17348</f>
        <v>34.175559999999997</v>
      </c>
      <c r="P25" s="49" t="s">
        <v>43</v>
      </c>
      <c r="Q25" s="49" t="s">
        <v>43</v>
      </c>
    </row>
    <row r="26" spans="1:17" ht="21.75" customHeight="1" x14ac:dyDescent="0.25">
      <c r="A26" s="45" t="s">
        <v>79</v>
      </c>
      <c r="B26" s="46" t="s">
        <v>60</v>
      </c>
      <c r="C26" s="47" t="s">
        <v>83</v>
      </c>
      <c r="D26" s="48">
        <v>9.5699999999999993E-2</v>
      </c>
      <c r="E26" s="49" t="s">
        <v>43</v>
      </c>
      <c r="F26" s="51">
        <f>$D4*-0.085</f>
        <v>-16.745000000000001</v>
      </c>
      <c r="G26" s="51">
        <f>$D4*-0.09462</f>
        <v>-18.640139999999999</v>
      </c>
      <c r="H26" s="51">
        <f>$D4*-0.05</f>
        <v>-9.8500000000000014</v>
      </c>
      <c r="I26" s="51">
        <f>$D4*-0.07</f>
        <v>-13.790000000000001</v>
      </c>
      <c r="J26" s="49" t="s">
        <v>43</v>
      </c>
      <c r="K26" s="49" t="s">
        <v>43</v>
      </c>
      <c r="L26" s="49" t="s">
        <v>43</v>
      </c>
      <c r="M26" s="51">
        <f>$D4*-0.11296</f>
        <v>-22.253120000000003</v>
      </c>
      <c r="N26" s="52">
        <f>$D4*0.0957</f>
        <v>18.852899999999998</v>
      </c>
      <c r="O26" s="49" t="s">
        <v>43</v>
      </c>
      <c r="P26" s="49" t="s">
        <v>43</v>
      </c>
      <c r="Q26" s="49" t="s">
        <v>43</v>
      </c>
    </row>
    <row r="27" spans="1:17" ht="21.75" customHeight="1" x14ac:dyDescent="0.25">
      <c r="A27" s="45" t="s">
        <v>59</v>
      </c>
      <c r="B27" s="46" t="s">
        <v>60</v>
      </c>
      <c r="C27" s="47" t="s">
        <v>62</v>
      </c>
      <c r="D27" s="48">
        <v>0.30569000000000002</v>
      </c>
      <c r="E27" s="50">
        <f>$D4*0.30569</f>
        <v>60.220930000000003</v>
      </c>
      <c r="F27" s="49" t="s">
        <v>43</v>
      </c>
      <c r="G27" s="49" t="s">
        <v>43</v>
      </c>
      <c r="H27" s="49" t="s">
        <v>43</v>
      </c>
      <c r="I27" s="49" t="s">
        <v>43</v>
      </c>
      <c r="J27" s="49" t="s">
        <v>43</v>
      </c>
      <c r="K27" s="49" t="s">
        <v>43</v>
      </c>
      <c r="L27" s="49" t="s">
        <v>43</v>
      </c>
      <c r="M27" s="49" t="s">
        <v>43</v>
      </c>
      <c r="N27" s="49" t="s">
        <v>43</v>
      </c>
      <c r="O27" s="49" t="s">
        <v>43</v>
      </c>
      <c r="P27" s="49" t="s">
        <v>43</v>
      </c>
      <c r="Q27" s="49" t="s">
        <v>43</v>
      </c>
    </row>
    <row r="28" spans="1:17" ht="21.75" customHeight="1" x14ac:dyDescent="0.25">
      <c r="A28" s="45" t="s">
        <v>113</v>
      </c>
      <c r="B28" s="46" t="s">
        <v>60</v>
      </c>
      <c r="C28" s="47" t="s">
        <v>116</v>
      </c>
      <c r="D28" s="48">
        <v>1.5939999999999999E-2</v>
      </c>
      <c r="E28" s="52">
        <f>$D4*0.01044</f>
        <v>2.0566800000000001</v>
      </c>
      <c r="F28" s="49" t="s">
        <v>43</v>
      </c>
      <c r="G28" s="49" t="s">
        <v>43</v>
      </c>
      <c r="H28" s="52">
        <f>$D4*0.00574</f>
        <v>1.1307800000000001</v>
      </c>
      <c r="I28" s="49" t="s">
        <v>43</v>
      </c>
      <c r="J28" s="49" t="s">
        <v>43</v>
      </c>
      <c r="K28" s="52">
        <f>$D4*0.01594</f>
        <v>3.14018</v>
      </c>
      <c r="L28" s="52">
        <f>$D4*0.01487</f>
        <v>2.9293899999999997</v>
      </c>
      <c r="M28" s="49" t="s">
        <v>43</v>
      </c>
      <c r="N28" s="49" t="s">
        <v>43</v>
      </c>
      <c r="O28" s="49" t="s">
        <v>43</v>
      </c>
      <c r="P28" s="49" t="s">
        <v>43</v>
      </c>
      <c r="Q28" s="49" t="s">
        <v>43</v>
      </c>
    </row>
    <row r="29" spans="1:17" ht="21.75" customHeight="1" x14ac:dyDescent="0.25">
      <c r="A29" s="45" t="s">
        <v>73</v>
      </c>
      <c r="B29" s="46" t="s">
        <v>60</v>
      </c>
      <c r="C29" s="47" t="s">
        <v>77</v>
      </c>
      <c r="D29" s="48">
        <v>0.78681999999999996</v>
      </c>
      <c r="E29" s="49" t="s">
        <v>43</v>
      </c>
      <c r="F29" s="49" t="s">
        <v>43</v>
      </c>
      <c r="G29" s="49" t="s">
        <v>43</v>
      </c>
      <c r="H29" s="49" t="s">
        <v>43</v>
      </c>
      <c r="I29" s="49" t="s">
        <v>43</v>
      </c>
      <c r="J29" s="49" t="s">
        <v>43</v>
      </c>
      <c r="K29" s="49" t="s">
        <v>43</v>
      </c>
      <c r="L29" s="49" t="s">
        <v>43</v>
      </c>
      <c r="M29" s="49" t="s">
        <v>43</v>
      </c>
      <c r="N29" s="49" t="s">
        <v>43</v>
      </c>
      <c r="O29" s="49" t="s">
        <v>43</v>
      </c>
      <c r="P29" s="49" t="s">
        <v>43</v>
      </c>
      <c r="Q29" s="50">
        <f>$D4*0.78682</f>
        <v>155.00353999999999</v>
      </c>
    </row>
    <row r="30" spans="1:17" ht="21.75" customHeight="1" x14ac:dyDescent="0.25">
      <c r="A30" s="45" t="s">
        <v>118</v>
      </c>
      <c r="B30" s="46" t="s">
        <v>60</v>
      </c>
      <c r="C30" s="47" t="s">
        <v>43</v>
      </c>
      <c r="D30" s="53"/>
      <c r="E30" s="49" t="s">
        <v>43</v>
      </c>
      <c r="F30" s="51">
        <f>$D4*-0.05</f>
        <v>-9.8500000000000014</v>
      </c>
      <c r="G30" s="49" t="s">
        <v>43</v>
      </c>
      <c r="H30" s="51">
        <f>$D4*-0.06</f>
        <v>-11.82</v>
      </c>
      <c r="I30" s="51">
        <f>$D4*-0.064</f>
        <v>-12.608000000000001</v>
      </c>
      <c r="J30" s="49" t="s">
        <v>43</v>
      </c>
      <c r="K30" s="49" t="s">
        <v>43</v>
      </c>
      <c r="L30" s="49" t="s">
        <v>43</v>
      </c>
      <c r="M30" s="49" t="s">
        <v>43</v>
      </c>
      <c r="N30" s="49" t="s">
        <v>43</v>
      </c>
      <c r="O30" s="49" t="s">
        <v>43</v>
      </c>
      <c r="P30" s="49" t="s">
        <v>43</v>
      </c>
      <c r="Q30" s="49" t="s">
        <v>43</v>
      </c>
    </row>
    <row r="31" spans="1:17" ht="21.75" customHeight="1" x14ac:dyDescent="0.25">
      <c r="A31" s="45" t="s">
        <v>123</v>
      </c>
      <c r="B31" s="46" t="s">
        <v>60</v>
      </c>
      <c r="C31" s="47" t="s">
        <v>126</v>
      </c>
      <c r="D31" s="48">
        <v>0.15659999999999999</v>
      </c>
      <c r="E31" s="52">
        <f>$D4*0.09</f>
        <v>17.73</v>
      </c>
      <c r="F31" s="49" t="s">
        <v>43</v>
      </c>
      <c r="G31" s="49" t="s">
        <v>43</v>
      </c>
      <c r="H31" s="49" t="s">
        <v>43</v>
      </c>
      <c r="I31" s="49" t="s">
        <v>43</v>
      </c>
      <c r="J31" s="49" t="s">
        <v>43</v>
      </c>
      <c r="K31" s="50">
        <f>$D4*0.1566</f>
        <v>30.850199999999997</v>
      </c>
      <c r="L31" s="52">
        <f>$D4*0.1374</f>
        <v>27.067799999999998</v>
      </c>
      <c r="M31" s="49" t="s">
        <v>43</v>
      </c>
      <c r="N31" s="49" t="s">
        <v>43</v>
      </c>
      <c r="O31" s="49" t="s">
        <v>43</v>
      </c>
      <c r="P31" s="51">
        <f>$D4*-0.04</f>
        <v>-7.88</v>
      </c>
      <c r="Q31" s="51">
        <f>$D4*-0.06</f>
        <v>-11.82</v>
      </c>
    </row>
    <row r="32" spans="1:17" ht="21.75" customHeight="1" x14ac:dyDescent="0.25">
      <c r="A32" s="45" t="s">
        <v>128</v>
      </c>
      <c r="B32" s="46" t="s">
        <v>60</v>
      </c>
      <c r="C32" s="47" t="s">
        <v>131</v>
      </c>
      <c r="D32" s="48">
        <v>0.32323000000000002</v>
      </c>
      <c r="E32" s="51">
        <f>$D4*-0.07</f>
        <v>-13.790000000000001</v>
      </c>
      <c r="F32" s="52">
        <f>$D4*0.09</f>
        <v>17.73</v>
      </c>
      <c r="G32" s="49" t="s">
        <v>43</v>
      </c>
      <c r="H32" s="50">
        <f>$D4*0.32323</f>
        <v>63.676310000000001</v>
      </c>
      <c r="I32" s="50">
        <f>$D4*0.21</f>
        <v>41.37</v>
      </c>
      <c r="J32" s="49" t="s">
        <v>43</v>
      </c>
      <c r="K32" s="49" t="s">
        <v>43</v>
      </c>
      <c r="L32" s="49" t="s">
        <v>43</v>
      </c>
      <c r="M32" s="49" t="s">
        <v>43</v>
      </c>
      <c r="N32" s="49" t="s">
        <v>43</v>
      </c>
      <c r="O32" s="49" t="s">
        <v>43</v>
      </c>
      <c r="P32" s="49" t="s">
        <v>43</v>
      </c>
      <c r="Q32" s="49" t="s">
        <v>43</v>
      </c>
    </row>
    <row r="33" spans="1:17" ht="21.75" customHeight="1" x14ac:dyDescent="0.25">
      <c r="A33" s="45" t="s">
        <v>133</v>
      </c>
      <c r="B33" s="46" t="s">
        <v>60</v>
      </c>
      <c r="C33" s="47" t="s">
        <v>43</v>
      </c>
      <c r="D33" s="53"/>
      <c r="E33" s="49" t="s">
        <v>43</v>
      </c>
      <c r="F33" s="51">
        <f>$D4*-0.092</f>
        <v>-18.123999999999999</v>
      </c>
      <c r="G33" s="51">
        <f>$D4*-0.0534</f>
        <v>-10.5198</v>
      </c>
      <c r="H33" s="51">
        <f>$D4*-0.088</f>
        <v>-17.335999999999999</v>
      </c>
      <c r="I33" s="51">
        <f>$D4*-0.098</f>
        <v>-19.306000000000001</v>
      </c>
      <c r="J33" s="49" t="s">
        <v>43</v>
      </c>
      <c r="K33" s="49" t="s">
        <v>43</v>
      </c>
      <c r="L33" s="49" t="s">
        <v>43</v>
      </c>
      <c r="M33" s="49" t="s">
        <v>43</v>
      </c>
      <c r="N33" s="49" t="s">
        <v>43</v>
      </c>
      <c r="O33" s="49" t="s">
        <v>43</v>
      </c>
      <c r="P33" s="49" t="s">
        <v>43</v>
      </c>
      <c r="Q33" s="49" t="s">
        <v>43</v>
      </c>
    </row>
    <row r="34" spans="1:17" ht="21.75" customHeight="1" x14ac:dyDescent="0.25">
      <c r="A34" s="45" t="s">
        <v>138</v>
      </c>
      <c r="B34" s="46" t="s">
        <v>60</v>
      </c>
      <c r="C34" s="47" t="s">
        <v>142</v>
      </c>
      <c r="D34" s="48">
        <v>0.251</v>
      </c>
      <c r="E34" s="49" t="s">
        <v>43</v>
      </c>
      <c r="F34" s="49" t="s">
        <v>43</v>
      </c>
      <c r="G34" s="49" t="s">
        <v>43</v>
      </c>
      <c r="H34" s="49" t="s">
        <v>43</v>
      </c>
      <c r="I34" s="49" t="s">
        <v>43</v>
      </c>
      <c r="J34" s="50">
        <f>$D4*0.251</f>
        <v>49.447000000000003</v>
      </c>
      <c r="K34" s="49" t="s">
        <v>43</v>
      </c>
      <c r="L34" s="49" t="s">
        <v>43</v>
      </c>
      <c r="M34" s="49" t="s">
        <v>43</v>
      </c>
      <c r="N34" s="49" t="s">
        <v>43</v>
      </c>
      <c r="O34" s="49" t="s">
        <v>43</v>
      </c>
      <c r="P34" s="49" t="s">
        <v>43</v>
      </c>
      <c r="Q34" s="49" t="s">
        <v>43</v>
      </c>
    </row>
    <row r="35" spans="1:17" ht="21.75" customHeight="1" x14ac:dyDescent="0.25">
      <c r="A35" s="45" t="s">
        <v>143</v>
      </c>
      <c r="B35" s="46" t="s">
        <v>60</v>
      </c>
      <c r="C35" s="47" t="s">
        <v>43</v>
      </c>
      <c r="D35" s="53"/>
      <c r="E35" s="51">
        <f>$D4*-0.05</f>
        <v>-9.8500000000000014</v>
      </c>
      <c r="F35" s="49" t="s">
        <v>43</v>
      </c>
      <c r="G35" s="49" t="s">
        <v>43</v>
      </c>
      <c r="H35" s="49" t="s">
        <v>43</v>
      </c>
      <c r="I35" s="49" t="s">
        <v>43</v>
      </c>
      <c r="J35" s="49" t="s">
        <v>43</v>
      </c>
      <c r="K35" s="51">
        <f>$D4*-0.048</f>
        <v>-9.4559999999999995</v>
      </c>
      <c r="L35" s="51">
        <f>$D4*-0.048</f>
        <v>-9.4559999999999995</v>
      </c>
      <c r="M35" s="49" t="s">
        <v>43</v>
      </c>
      <c r="N35" s="49" t="s">
        <v>43</v>
      </c>
      <c r="O35" s="51">
        <f>$D4*-0.04</f>
        <v>-7.88</v>
      </c>
      <c r="P35" s="49" t="s">
        <v>43</v>
      </c>
      <c r="Q35" s="49" t="s">
        <v>43</v>
      </c>
    </row>
    <row r="36" spans="1:17" ht="21.75" customHeight="1" x14ac:dyDescent="0.25">
      <c r="A36" s="45" t="s">
        <v>148</v>
      </c>
      <c r="B36" s="46" t="s">
        <v>60</v>
      </c>
      <c r="C36" s="47" t="s">
        <v>152</v>
      </c>
      <c r="D36" s="48">
        <v>5.2999999999999999E-2</v>
      </c>
      <c r="E36" s="49" t="s">
        <v>43</v>
      </c>
      <c r="F36" s="51">
        <f>$D4*-0.053</f>
        <v>-10.440999999999999</v>
      </c>
      <c r="G36" s="51">
        <f>$D4*-0.056</f>
        <v>-11.032</v>
      </c>
      <c r="H36" s="49" t="s">
        <v>43</v>
      </c>
      <c r="I36" s="51">
        <f>$D4*-0.044</f>
        <v>-8.6679999999999993</v>
      </c>
      <c r="J36" s="49" t="s">
        <v>43</v>
      </c>
      <c r="K36" s="49" t="s">
        <v>43</v>
      </c>
      <c r="L36" s="49" t="s">
        <v>43</v>
      </c>
      <c r="M36" s="51">
        <f>$D4*-0.056</f>
        <v>-11.032</v>
      </c>
      <c r="N36" s="51">
        <f>$D4*-0.04</f>
        <v>-7.88</v>
      </c>
      <c r="O36" s="49" t="s">
        <v>43</v>
      </c>
      <c r="P36" s="52">
        <f>$D4*0.053</f>
        <v>10.440999999999999</v>
      </c>
      <c r="Q36" s="52">
        <f>$D4*0.05</f>
        <v>9.8500000000000014</v>
      </c>
    </row>
    <row r="37" spans="1:17" ht="21.75" customHeight="1" x14ac:dyDescent="0.25">
      <c r="A37" s="45" t="s">
        <v>154</v>
      </c>
      <c r="B37" s="46" t="s">
        <v>60</v>
      </c>
      <c r="C37" s="47" t="s">
        <v>158</v>
      </c>
      <c r="D37" s="48">
        <v>0.39251999999999998</v>
      </c>
      <c r="E37" s="49" t="s">
        <v>43</v>
      </c>
      <c r="F37" s="49" t="s">
        <v>43</v>
      </c>
      <c r="G37" s="49" t="s">
        <v>43</v>
      </c>
      <c r="H37" s="49" t="s">
        <v>43</v>
      </c>
      <c r="I37" s="49" t="s">
        <v>43</v>
      </c>
      <c r="J37" s="50">
        <f>$D4*0.39252</f>
        <v>77.326439999999991</v>
      </c>
      <c r="K37" s="49" t="s">
        <v>43</v>
      </c>
      <c r="L37" s="49" t="s">
        <v>43</v>
      </c>
      <c r="M37" s="49" t="s">
        <v>43</v>
      </c>
      <c r="N37" s="49" t="s">
        <v>43</v>
      </c>
      <c r="O37" s="49" t="s">
        <v>43</v>
      </c>
      <c r="P37" s="49" t="s">
        <v>43</v>
      </c>
      <c r="Q37" s="49" t="s">
        <v>43</v>
      </c>
    </row>
    <row r="38" spans="1:17" ht="21.75" customHeight="1" x14ac:dyDescent="0.25">
      <c r="A38" s="45" t="s">
        <v>159</v>
      </c>
      <c r="B38" s="46" t="s">
        <v>60</v>
      </c>
      <c r="C38" s="47" t="s">
        <v>163</v>
      </c>
      <c r="D38" s="48">
        <v>0.29043000000000002</v>
      </c>
      <c r="E38" s="52">
        <f>$D4*0.11076</f>
        <v>21.81972</v>
      </c>
      <c r="F38" s="49" t="s">
        <v>43</v>
      </c>
      <c r="G38" s="49" t="s">
        <v>43</v>
      </c>
      <c r="H38" s="52">
        <f>$D4*0.0458</f>
        <v>9.0226000000000006</v>
      </c>
      <c r="I38" s="49" t="s">
        <v>43</v>
      </c>
      <c r="J38" s="49" t="s">
        <v>43</v>
      </c>
      <c r="K38" s="50">
        <f>$D4*0.29043</f>
        <v>57.214710000000004</v>
      </c>
      <c r="L38" s="50">
        <f>$D4*0.2337</f>
        <v>46.038899999999998</v>
      </c>
      <c r="M38" s="49" t="s">
        <v>43</v>
      </c>
      <c r="N38" s="49" t="s">
        <v>43</v>
      </c>
      <c r="O38" s="51">
        <f>$D4*-0.0525</f>
        <v>-10.342499999999999</v>
      </c>
      <c r="P38" s="51">
        <f>$D4*-0.041</f>
        <v>-8.077</v>
      </c>
      <c r="Q38" s="51">
        <f>$D4*-0.05</f>
        <v>-9.8500000000000014</v>
      </c>
    </row>
    <row r="39" spans="1:17" ht="21.75" customHeight="1" x14ac:dyDescent="0.25">
      <c r="A39" s="45" t="s">
        <v>165</v>
      </c>
      <c r="B39" s="46" t="s">
        <v>60</v>
      </c>
      <c r="C39" s="47" t="s">
        <v>168</v>
      </c>
      <c r="D39" s="48">
        <v>0.22977</v>
      </c>
      <c r="E39" s="51">
        <f>$D4*-0.05</f>
        <v>-9.8500000000000014</v>
      </c>
      <c r="F39" s="52">
        <f>$D4*0.05</f>
        <v>9.8500000000000014</v>
      </c>
      <c r="G39" s="49" t="s">
        <v>43</v>
      </c>
      <c r="H39" s="50">
        <f>$D4*0.22977</f>
        <v>45.264690000000002</v>
      </c>
      <c r="I39" s="52">
        <f>$D4*0.1432</f>
        <v>28.2104</v>
      </c>
      <c r="J39" s="49" t="s">
        <v>43</v>
      </c>
      <c r="K39" s="49" t="s">
        <v>43</v>
      </c>
      <c r="L39" s="49" t="s">
        <v>43</v>
      </c>
      <c r="M39" s="49" t="s">
        <v>43</v>
      </c>
      <c r="N39" s="49" t="s">
        <v>43</v>
      </c>
      <c r="O39" s="49" t="s">
        <v>43</v>
      </c>
      <c r="P39" s="49" t="s">
        <v>43</v>
      </c>
      <c r="Q39" s="49" t="s">
        <v>43</v>
      </c>
    </row>
    <row r="40" spans="1:17" ht="21.75" customHeight="1" x14ac:dyDescent="0.25">
      <c r="A40" s="45" t="s">
        <v>90</v>
      </c>
      <c r="B40" s="46" t="s">
        <v>60</v>
      </c>
      <c r="C40" s="47" t="s">
        <v>171</v>
      </c>
      <c r="D40" s="48">
        <v>0.21299999999999999</v>
      </c>
      <c r="E40" s="52">
        <f>$D4*0.08</f>
        <v>15.76</v>
      </c>
      <c r="F40" s="49" t="s">
        <v>43</v>
      </c>
      <c r="G40" s="49" t="s">
        <v>43</v>
      </c>
      <c r="H40" s="49" t="s">
        <v>43</v>
      </c>
      <c r="I40" s="49" t="s">
        <v>43</v>
      </c>
      <c r="J40" s="49" t="s">
        <v>43</v>
      </c>
      <c r="K40" s="50">
        <f>$D4*0.213</f>
        <v>41.960999999999999</v>
      </c>
      <c r="L40" s="50">
        <f>$D4*0.2</f>
        <v>39.400000000000006</v>
      </c>
      <c r="M40" s="49" t="s">
        <v>43</v>
      </c>
      <c r="N40" s="49" t="s">
        <v>43</v>
      </c>
      <c r="O40" s="49" t="s">
        <v>43</v>
      </c>
      <c r="P40" s="49" t="s">
        <v>43</v>
      </c>
      <c r="Q40" s="49" t="s">
        <v>43</v>
      </c>
    </row>
    <row r="41" spans="1:17" ht="21.75" customHeight="1" x14ac:dyDescent="0.25">
      <c r="A41" s="45" t="s">
        <v>172</v>
      </c>
      <c r="B41" s="46" t="s">
        <v>60</v>
      </c>
      <c r="C41" s="47" t="s">
        <v>175</v>
      </c>
      <c r="D41" s="48">
        <v>0.05</v>
      </c>
      <c r="E41" s="52">
        <f>$D4*0.05</f>
        <v>9.8500000000000014</v>
      </c>
      <c r="F41" s="49" t="s">
        <v>43</v>
      </c>
      <c r="G41" s="49" t="s">
        <v>43</v>
      </c>
      <c r="H41" s="52">
        <f>$D4*0.014</f>
        <v>2.758</v>
      </c>
      <c r="I41" s="49" t="s">
        <v>43</v>
      </c>
      <c r="J41" s="49" t="s">
        <v>43</v>
      </c>
      <c r="K41" s="49" t="s">
        <v>43</v>
      </c>
      <c r="L41" s="49" t="s">
        <v>43</v>
      </c>
      <c r="M41" s="49" t="s">
        <v>43</v>
      </c>
      <c r="N41" s="49" t="s">
        <v>43</v>
      </c>
      <c r="O41" s="49" t="s">
        <v>43</v>
      </c>
      <c r="P41" s="49" t="s">
        <v>43</v>
      </c>
      <c r="Q41" s="49" t="s">
        <v>43</v>
      </c>
    </row>
    <row r="42" spans="1:17" ht="21.75" customHeight="1" x14ac:dyDescent="0.25">
      <c r="A42" s="45" t="s">
        <v>176</v>
      </c>
      <c r="B42" s="46" t="s">
        <v>60</v>
      </c>
      <c r="C42" s="47" t="s">
        <v>179</v>
      </c>
      <c r="D42" s="48">
        <v>7.2520000000000001E-2</v>
      </c>
      <c r="E42" s="52">
        <f>$D4*0.07252</f>
        <v>14.286440000000001</v>
      </c>
      <c r="F42" s="49" t="s">
        <v>43</v>
      </c>
      <c r="G42" s="49" t="s">
        <v>43</v>
      </c>
      <c r="H42" s="49" t="s">
        <v>43</v>
      </c>
      <c r="I42" s="49" t="s">
        <v>43</v>
      </c>
      <c r="J42" s="49" t="s">
        <v>43</v>
      </c>
      <c r="K42" s="49" t="s">
        <v>43</v>
      </c>
      <c r="L42" s="49" t="s">
        <v>43</v>
      </c>
      <c r="M42" s="49" t="s">
        <v>43</v>
      </c>
      <c r="N42" s="49" t="s">
        <v>43</v>
      </c>
      <c r="O42" s="49" t="s">
        <v>43</v>
      </c>
      <c r="P42" s="49" t="s">
        <v>43</v>
      </c>
      <c r="Q42" s="49" t="s">
        <v>43</v>
      </c>
    </row>
    <row r="43" spans="1:17" ht="21.75" customHeight="1" x14ac:dyDescent="0.25">
      <c r="A43" s="45" t="s">
        <v>181</v>
      </c>
      <c r="B43" s="46" t="s">
        <v>60</v>
      </c>
      <c r="C43" s="47" t="s">
        <v>185</v>
      </c>
      <c r="D43" s="48">
        <v>1.044E-2</v>
      </c>
      <c r="E43" s="49" t="s">
        <v>43</v>
      </c>
      <c r="F43" s="52">
        <f>$D4*0.01044</f>
        <v>2.0566800000000001</v>
      </c>
      <c r="G43" s="49" t="s">
        <v>43</v>
      </c>
      <c r="H43" s="49" t="s">
        <v>43</v>
      </c>
      <c r="I43" s="52">
        <f>$D4*0.01044</f>
        <v>2.0566800000000001</v>
      </c>
      <c r="J43" s="49" t="s">
        <v>43</v>
      </c>
      <c r="K43" s="49" t="s">
        <v>43</v>
      </c>
      <c r="L43" s="49" t="s">
        <v>43</v>
      </c>
      <c r="M43" s="49" t="s">
        <v>43</v>
      </c>
      <c r="N43" s="49" t="s">
        <v>43</v>
      </c>
      <c r="O43" s="49" t="s">
        <v>43</v>
      </c>
      <c r="P43" s="49" t="s">
        <v>43</v>
      </c>
      <c r="Q43" s="49" t="s">
        <v>43</v>
      </c>
    </row>
    <row r="44" spans="1:17" ht="21.75" customHeight="1" x14ac:dyDescent="0.25">
      <c r="A44" s="45" t="s">
        <v>186</v>
      </c>
      <c r="B44" s="46" t="s">
        <v>60</v>
      </c>
      <c r="C44" s="47" t="s">
        <v>190</v>
      </c>
      <c r="D44" s="48">
        <v>0.04</v>
      </c>
      <c r="E44" s="49" t="s">
        <v>43</v>
      </c>
      <c r="F44" s="49" t="s">
        <v>43</v>
      </c>
      <c r="G44" s="49" t="s">
        <v>43</v>
      </c>
      <c r="H44" s="49" t="s">
        <v>43</v>
      </c>
      <c r="I44" s="49" t="s">
        <v>43</v>
      </c>
      <c r="J44" s="49" t="s">
        <v>43</v>
      </c>
      <c r="K44" s="52">
        <f>$D4*0.04</f>
        <v>7.88</v>
      </c>
      <c r="L44" s="52">
        <f>$D4*0.04</f>
        <v>7.88</v>
      </c>
      <c r="M44" s="49" t="s">
        <v>43</v>
      </c>
      <c r="N44" s="49" t="s">
        <v>43</v>
      </c>
      <c r="O44" s="49" t="s">
        <v>43</v>
      </c>
      <c r="P44" s="49" t="s">
        <v>43</v>
      </c>
      <c r="Q44" s="49" t="s">
        <v>43</v>
      </c>
    </row>
    <row r="45" spans="1:17" ht="21.75" customHeight="1" x14ac:dyDescent="0.25">
      <c r="A45" s="45" t="s">
        <v>192</v>
      </c>
      <c r="B45" s="46" t="s">
        <v>60</v>
      </c>
      <c r="C45" s="47" t="s">
        <v>195</v>
      </c>
      <c r="D45" s="48">
        <v>1.469E-2</v>
      </c>
      <c r="E45" s="49" t="s">
        <v>43</v>
      </c>
      <c r="F45" s="49" t="s">
        <v>43</v>
      </c>
      <c r="G45" s="49" t="s">
        <v>43</v>
      </c>
      <c r="H45" s="49" t="s">
        <v>43</v>
      </c>
      <c r="I45" s="49" t="s">
        <v>43</v>
      </c>
      <c r="J45" s="49" t="s">
        <v>43</v>
      </c>
      <c r="K45" s="49" t="s">
        <v>43</v>
      </c>
      <c r="L45" s="49" t="s">
        <v>43</v>
      </c>
      <c r="M45" s="49" t="s">
        <v>43</v>
      </c>
      <c r="N45" s="49" t="s">
        <v>43</v>
      </c>
      <c r="O45" s="49" t="s">
        <v>43</v>
      </c>
      <c r="P45" s="52">
        <f>$D4*0.01469</f>
        <v>2.8939300000000001</v>
      </c>
      <c r="Q45" s="49" t="s">
        <v>43</v>
      </c>
    </row>
    <row r="46" spans="1:17" ht="21.75" customHeight="1" x14ac:dyDescent="0.25">
      <c r="A46" s="45" t="s">
        <v>196</v>
      </c>
      <c r="B46" s="46" t="s">
        <v>60</v>
      </c>
      <c r="C46" s="47" t="s">
        <v>199</v>
      </c>
      <c r="D46" s="48">
        <v>0.34171000000000001</v>
      </c>
      <c r="E46" s="50">
        <f>$D4*0.34171</f>
        <v>67.316870000000009</v>
      </c>
      <c r="F46" s="49" t="s">
        <v>43</v>
      </c>
      <c r="G46" s="49" t="s">
        <v>43</v>
      </c>
      <c r="H46" s="52">
        <f>$D4*0.09187</f>
        <v>18.098389999999998</v>
      </c>
      <c r="I46" s="52">
        <f>$D4*0.057</f>
        <v>11.229000000000001</v>
      </c>
      <c r="J46" s="49" t="s">
        <v>43</v>
      </c>
      <c r="K46" s="51">
        <f>$D4*-0.028</f>
        <v>-5.516</v>
      </c>
      <c r="L46" s="51">
        <f>$D4*-0.0235</f>
        <v>-4.6295000000000002</v>
      </c>
      <c r="M46" s="49" t="s">
        <v>43</v>
      </c>
      <c r="N46" s="49" t="s">
        <v>43</v>
      </c>
      <c r="O46" s="49" t="s">
        <v>43</v>
      </c>
      <c r="P46" s="49" t="s">
        <v>43</v>
      </c>
      <c r="Q46" s="49" t="s">
        <v>43</v>
      </c>
    </row>
    <row r="47" spans="1:17" ht="21.75" customHeight="1" x14ac:dyDescent="0.25">
      <c r="A47" s="45" t="s">
        <v>203</v>
      </c>
      <c r="B47" s="46" t="s">
        <v>60</v>
      </c>
      <c r="C47" s="47" t="s">
        <v>206</v>
      </c>
      <c r="D47" s="48">
        <v>1.8556E-2</v>
      </c>
      <c r="E47" s="49" t="s">
        <v>43</v>
      </c>
      <c r="F47" s="49" t="s">
        <v>43</v>
      </c>
      <c r="G47" s="52">
        <f>$D4*0.01138</f>
        <v>2.24186</v>
      </c>
      <c r="H47" s="49" t="s">
        <v>43</v>
      </c>
      <c r="I47" s="49" t="s">
        <v>43</v>
      </c>
      <c r="J47" s="49" t="s">
        <v>43</v>
      </c>
      <c r="K47" s="49" t="s">
        <v>43</v>
      </c>
      <c r="L47" s="49" t="s">
        <v>43</v>
      </c>
      <c r="M47" s="52">
        <f>$D4*0.01856</f>
        <v>3.65632</v>
      </c>
      <c r="N47" s="49" t="s">
        <v>43</v>
      </c>
      <c r="O47" s="49" t="s">
        <v>43</v>
      </c>
      <c r="P47" s="49" t="s">
        <v>43</v>
      </c>
      <c r="Q47" s="49" t="s">
        <v>43</v>
      </c>
    </row>
    <row r="48" spans="1:17" ht="21.75" customHeight="1" x14ac:dyDescent="0.25">
      <c r="A48" s="45" t="s">
        <v>207</v>
      </c>
      <c r="B48" s="46" t="s">
        <v>60</v>
      </c>
      <c r="C48" s="47" t="s">
        <v>210</v>
      </c>
      <c r="D48" s="48">
        <v>0.18321999999999999</v>
      </c>
      <c r="E48" s="49" t="s">
        <v>43</v>
      </c>
      <c r="F48" s="49" t="s">
        <v>43</v>
      </c>
      <c r="G48" s="49" t="s">
        <v>43</v>
      </c>
      <c r="H48" s="49" t="s">
        <v>43</v>
      </c>
      <c r="I48" s="49" t="s">
        <v>43</v>
      </c>
      <c r="J48" s="49" t="s">
        <v>43</v>
      </c>
      <c r="K48" s="49" t="s">
        <v>43</v>
      </c>
      <c r="L48" s="49" t="s">
        <v>43</v>
      </c>
      <c r="M48" s="49" t="s">
        <v>43</v>
      </c>
      <c r="N48" s="50">
        <f>$D4*0.18322</f>
        <v>36.094339999999995</v>
      </c>
      <c r="O48" s="49" t="s">
        <v>43</v>
      </c>
      <c r="P48" s="49" t="s">
        <v>43</v>
      </c>
      <c r="Q48" s="49" t="s">
        <v>43</v>
      </c>
    </row>
    <row r="49" spans="1:17" ht="21.75" customHeight="1" x14ac:dyDescent="0.25">
      <c r="A49" s="45" t="s">
        <v>211</v>
      </c>
      <c r="B49" s="46" t="s">
        <v>60</v>
      </c>
      <c r="C49" s="47" t="s">
        <v>214</v>
      </c>
      <c r="D49" s="48">
        <v>0.23807</v>
      </c>
      <c r="E49" s="49" t="s">
        <v>43</v>
      </c>
      <c r="F49" s="51">
        <f>$D4*-0.26481</f>
        <v>-52.167569999999998</v>
      </c>
      <c r="G49" s="50">
        <f>$D4*0.23807</f>
        <v>46.899790000000003</v>
      </c>
      <c r="H49" s="51">
        <f>$D4*-0.09445</f>
        <v>-18.606650000000002</v>
      </c>
      <c r="I49" s="51">
        <f>$D4*-0.12963</f>
        <v>-25.537109999999998</v>
      </c>
      <c r="J49" s="49" t="s">
        <v>43</v>
      </c>
      <c r="K49" s="49" t="s">
        <v>43</v>
      </c>
      <c r="L49" s="49" t="s">
        <v>43</v>
      </c>
      <c r="M49" s="52">
        <f>$D4*0.076</f>
        <v>14.972</v>
      </c>
      <c r="N49" s="49" t="s">
        <v>43</v>
      </c>
      <c r="O49" s="49" t="s">
        <v>43</v>
      </c>
      <c r="P49" s="49" t="s">
        <v>43</v>
      </c>
      <c r="Q49" s="49" t="s">
        <v>43</v>
      </c>
    </row>
    <row r="50" spans="1:17" ht="21.75" customHeight="1" x14ac:dyDescent="0.25">
      <c r="A50" s="45" t="s">
        <v>216</v>
      </c>
      <c r="B50" s="46" t="s">
        <v>60</v>
      </c>
      <c r="C50" s="47" t="s">
        <v>219</v>
      </c>
      <c r="D50" s="48">
        <v>0.15343000000000001</v>
      </c>
      <c r="E50" s="49" t="s">
        <v>43</v>
      </c>
      <c r="F50" s="49" t="s">
        <v>43</v>
      </c>
      <c r="G50" s="49" t="s">
        <v>43</v>
      </c>
      <c r="H50" s="49" t="s">
        <v>43</v>
      </c>
      <c r="I50" s="49" t="s">
        <v>43</v>
      </c>
      <c r="J50" s="49" t="s">
        <v>43</v>
      </c>
      <c r="K50" s="49" t="s">
        <v>43</v>
      </c>
      <c r="L50" s="49" t="s">
        <v>43</v>
      </c>
      <c r="M50" s="50">
        <f>$D4*0.15343</f>
        <v>30.225710000000003</v>
      </c>
      <c r="N50" s="49" t="s">
        <v>43</v>
      </c>
      <c r="O50" s="49" t="s">
        <v>43</v>
      </c>
      <c r="P50" s="49" t="s">
        <v>43</v>
      </c>
      <c r="Q50" s="49" t="s">
        <v>43</v>
      </c>
    </row>
    <row r="51" spans="1:17" ht="21.75" customHeight="1" x14ac:dyDescent="0.25">
      <c r="A51" s="45" t="s">
        <v>220</v>
      </c>
      <c r="B51" s="46" t="s">
        <v>60</v>
      </c>
      <c r="C51" s="47" t="s">
        <v>223</v>
      </c>
      <c r="D51" s="48">
        <v>7.22E-2</v>
      </c>
      <c r="E51" s="49" t="s">
        <v>43</v>
      </c>
      <c r="F51" s="51">
        <f>$D4*-0.732</f>
        <v>-144.20400000000001</v>
      </c>
      <c r="G51" s="51">
        <f>$D4*-0.09013</f>
        <v>-17.755610000000001</v>
      </c>
      <c r="H51" s="52">
        <f>$D4*0.0722</f>
        <v>14.2234</v>
      </c>
      <c r="I51" s="49" t="s">
        <v>43</v>
      </c>
      <c r="J51" s="49" t="s">
        <v>43</v>
      </c>
      <c r="K51" s="49" t="s">
        <v>43</v>
      </c>
      <c r="L51" s="49" t="s">
        <v>43</v>
      </c>
      <c r="M51" s="51">
        <f>$D4*-0.0514</f>
        <v>-10.1258</v>
      </c>
      <c r="N51" s="49" t="s">
        <v>43</v>
      </c>
      <c r="O51" s="49" t="s">
        <v>43</v>
      </c>
      <c r="P51" s="49" t="s">
        <v>43</v>
      </c>
      <c r="Q51" s="49" t="s">
        <v>43</v>
      </c>
    </row>
    <row r="52" spans="1:17" ht="21.75" customHeight="1" x14ac:dyDescent="0.25">
      <c r="A52" s="45" t="s">
        <v>225</v>
      </c>
      <c r="B52" s="46" t="s">
        <v>60</v>
      </c>
      <c r="C52" s="47" t="s">
        <v>228</v>
      </c>
      <c r="D52" s="48">
        <v>9.5149999999999998E-2</v>
      </c>
      <c r="E52" s="49" t="s">
        <v>43</v>
      </c>
      <c r="F52" s="49" t="s">
        <v>43</v>
      </c>
      <c r="G52" s="49" t="s">
        <v>43</v>
      </c>
      <c r="H52" s="49" t="s">
        <v>43</v>
      </c>
      <c r="I52" s="49" t="s">
        <v>43</v>
      </c>
      <c r="J52" s="49" t="s">
        <v>43</v>
      </c>
      <c r="K52" s="49" t="s">
        <v>43</v>
      </c>
      <c r="L52" s="49" t="s">
        <v>43</v>
      </c>
      <c r="M52" s="49" t="s">
        <v>43</v>
      </c>
      <c r="N52" s="52">
        <f>$D4*0.09515</f>
        <v>18.74455</v>
      </c>
      <c r="O52" s="49" t="s">
        <v>43</v>
      </c>
      <c r="P52" s="49" t="s">
        <v>43</v>
      </c>
      <c r="Q52" s="49" t="s">
        <v>43</v>
      </c>
    </row>
    <row r="53" spans="1:17" ht="21.75" customHeight="1" x14ac:dyDescent="0.25">
      <c r="A53" s="45" t="s">
        <v>229</v>
      </c>
      <c r="B53" s="46" t="s">
        <v>60</v>
      </c>
      <c r="C53" s="47" t="s">
        <v>43</v>
      </c>
      <c r="D53" s="53"/>
      <c r="E53" s="49" t="s">
        <v>43</v>
      </c>
      <c r="F53" s="49" t="s">
        <v>43</v>
      </c>
      <c r="G53" s="49" t="s">
        <v>43</v>
      </c>
      <c r="H53" s="49" t="s">
        <v>43</v>
      </c>
      <c r="I53" s="49" t="s">
        <v>43</v>
      </c>
      <c r="J53" s="49" t="s">
        <v>43</v>
      </c>
      <c r="K53" s="49" t="s">
        <v>43</v>
      </c>
      <c r="L53" s="49" t="s">
        <v>43</v>
      </c>
      <c r="M53" s="49" t="s">
        <v>43</v>
      </c>
      <c r="N53" s="49" t="s">
        <v>43</v>
      </c>
      <c r="O53" s="49" t="s">
        <v>43</v>
      </c>
      <c r="P53" s="49" t="s">
        <v>43</v>
      </c>
      <c r="Q53" s="51">
        <f>$D4*-0.05</f>
        <v>-9.8500000000000014</v>
      </c>
    </row>
    <row r="54" spans="1:17" ht="21.75" customHeight="1" x14ac:dyDescent="0.25">
      <c r="A54" s="45" t="s">
        <v>234</v>
      </c>
      <c r="B54" s="46" t="s">
        <v>60</v>
      </c>
      <c r="C54" s="47" t="s">
        <v>43</v>
      </c>
      <c r="D54" s="53"/>
      <c r="E54" s="51">
        <f>$D4*-0.24657</f>
        <v>-48.574290000000005</v>
      </c>
      <c r="F54" s="49" t="s">
        <v>43</v>
      </c>
      <c r="G54" s="49" t="s">
        <v>43</v>
      </c>
      <c r="H54" s="51">
        <f>$D4*-0.11282</f>
        <v>-22.225540000000002</v>
      </c>
      <c r="I54" s="51">
        <f>$D4*-0.06874</f>
        <v>-13.541779999999999</v>
      </c>
      <c r="J54" s="49" t="s">
        <v>43</v>
      </c>
      <c r="K54" s="49" t="s">
        <v>43</v>
      </c>
      <c r="L54" s="49" t="s">
        <v>43</v>
      </c>
      <c r="M54" s="49" t="s">
        <v>43</v>
      </c>
      <c r="N54" s="49" t="s">
        <v>43</v>
      </c>
      <c r="O54" s="49" t="s">
        <v>43</v>
      </c>
      <c r="P54" s="49" t="s">
        <v>43</v>
      </c>
      <c r="Q54" s="49" t="s">
        <v>43</v>
      </c>
    </row>
    <row r="55" spans="1:17" ht="21.75" customHeight="1" x14ac:dyDescent="0.25">
      <c r="A55" s="45" t="s">
        <v>236</v>
      </c>
      <c r="B55" s="46" t="s">
        <v>60</v>
      </c>
      <c r="C55" s="47" t="s">
        <v>239</v>
      </c>
      <c r="D55" s="48">
        <v>0.05</v>
      </c>
      <c r="E55" s="49" t="s">
        <v>43</v>
      </c>
      <c r="F55" s="49" t="s">
        <v>43</v>
      </c>
      <c r="G55" s="49" t="s">
        <v>43</v>
      </c>
      <c r="H55" s="49" t="s">
        <v>43</v>
      </c>
      <c r="I55" s="49" t="s">
        <v>43</v>
      </c>
      <c r="J55" s="49" t="s">
        <v>43</v>
      </c>
      <c r="K55" s="49" t="s">
        <v>43</v>
      </c>
      <c r="L55" s="49" t="s">
        <v>43</v>
      </c>
      <c r="M55" s="49" t="s">
        <v>43</v>
      </c>
      <c r="N55" s="49" t="s">
        <v>43</v>
      </c>
      <c r="O55" s="52">
        <f>$D4*0.05</f>
        <v>9.8500000000000014</v>
      </c>
      <c r="P55" s="49" t="s">
        <v>43</v>
      </c>
      <c r="Q55" s="49" t="s">
        <v>43</v>
      </c>
    </row>
    <row r="56" spans="1:17" ht="21.75" customHeight="1" x14ac:dyDescent="0.25">
      <c r="A56" s="45" t="s">
        <v>240</v>
      </c>
      <c r="B56" s="46" t="s">
        <v>60</v>
      </c>
      <c r="C56" s="47" t="s">
        <v>43</v>
      </c>
      <c r="D56" s="53"/>
      <c r="E56" s="49" t="s">
        <v>43</v>
      </c>
      <c r="F56" s="51">
        <f>$D4*-0.08093</f>
        <v>-15.943210000000001</v>
      </c>
      <c r="G56" s="49" t="s">
        <v>43</v>
      </c>
      <c r="H56" s="51">
        <f>$D4*-0.20464</f>
        <v>-40.314079999999997</v>
      </c>
      <c r="I56" s="51">
        <f>$D4*-0.08935</f>
        <v>-17.601949999999999</v>
      </c>
      <c r="J56" s="49" t="s">
        <v>43</v>
      </c>
      <c r="K56" s="49" t="s">
        <v>43</v>
      </c>
      <c r="L56" s="49" t="s">
        <v>43</v>
      </c>
      <c r="M56" s="49" t="s">
        <v>43</v>
      </c>
      <c r="N56" s="49" t="s">
        <v>43</v>
      </c>
      <c r="O56" s="49" t="s">
        <v>43</v>
      </c>
      <c r="P56" s="49" t="s">
        <v>43</v>
      </c>
      <c r="Q56" s="49" t="s">
        <v>43</v>
      </c>
    </row>
    <row r="57" spans="1:17" ht="21.75" customHeight="1" x14ac:dyDescent="0.25">
      <c r="A57" s="45" t="s">
        <v>244</v>
      </c>
      <c r="B57" s="46" t="s">
        <v>60</v>
      </c>
      <c r="C57" s="47" t="s">
        <v>21</v>
      </c>
      <c r="D57" s="48">
        <v>0.31739000000000001</v>
      </c>
      <c r="E57" s="50">
        <f>$D4*0.31739</f>
        <v>62.525829999999999</v>
      </c>
      <c r="F57" s="49" t="s">
        <v>43</v>
      </c>
      <c r="G57" s="49" t="s">
        <v>43</v>
      </c>
      <c r="H57" s="49" t="s">
        <v>43</v>
      </c>
      <c r="I57" s="49" t="s">
        <v>43</v>
      </c>
      <c r="J57" s="49" t="s">
        <v>43</v>
      </c>
      <c r="K57" s="49" t="s">
        <v>43</v>
      </c>
      <c r="L57" s="49" t="s">
        <v>43</v>
      </c>
      <c r="M57" s="49" t="s">
        <v>43</v>
      </c>
      <c r="N57" s="49" t="s">
        <v>43</v>
      </c>
      <c r="O57" s="49" t="s">
        <v>43</v>
      </c>
      <c r="P57" s="49" t="s">
        <v>43</v>
      </c>
      <c r="Q57" s="49" t="s">
        <v>43</v>
      </c>
    </row>
    <row r="58" spans="1:17" ht="21.75" customHeight="1" x14ac:dyDescent="0.25">
      <c r="A58" s="45" t="s">
        <v>248</v>
      </c>
      <c r="B58" s="46" t="s">
        <v>60</v>
      </c>
      <c r="C58" s="47" t="s">
        <v>43</v>
      </c>
      <c r="D58" s="53"/>
      <c r="E58" s="49" t="s">
        <v>43</v>
      </c>
      <c r="F58" s="49" t="s">
        <v>43</v>
      </c>
      <c r="G58" s="49" t="s">
        <v>43</v>
      </c>
      <c r="H58" s="49" t="s">
        <v>43</v>
      </c>
      <c r="I58" s="49" t="s">
        <v>43</v>
      </c>
      <c r="J58" s="49" t="s">
        <v>43</v>
      </c>
      <c r="K58" s="49" t="s">
        <v>43</v>
      </c>
      <c r="L58" s="49" t="s">
        <v>43</v>
      </c>
      <c r="M58" s="49" t="s">
        <v>43</v>
      </c>
      <c r="N58" s="49" t="s">
        <v>43</v>
      </c>
      <c r="O58" s="49" t="s">
        <v>43</v>
      </c>
      <c r="P58" s="51">
        <f>$D4*-0.05</f>
        <v>-9.8500000000000014</v>
      </c>
      <c r="Q58" s="49" t="s">
        <v>43</v>
      </c>
    </row>
    <row r="59" spans="1:17" ht="21.75" customHeight="1" x14ac:dyDescent="0.25">
      <c r="A59" s="45" t="s">
        <v>253</v>
      </c>
      <c r="B59" s="46" t="s">
        <v>60</v>
      </c>
      <c r="C59" s="47" t="s">
        <v>257</v>
      </c>
      <c r="D59" s="48">
        <v>0.06</v>
      </c>
      <c r="E59" s="49" t="s">
        <v>43</v>
      </c>
      <c r="F59" s="49" t="s">
        <v>43</v>
      </c>
      <c r="G59" s="52">
        <f>$D4*0.06</f>
        <v>11.82</v>
      </c>
      <c r="H59" s="49" t="s">
        <v>43</v>
      </c>
      <c r="I59" s="49" t="s">
        <v>43</v>
      </c>
      <c r="J59" s="49" t="s">
        <v>43</v>
      </c>
      <c r="K59" s="49" t="s">
        <v>43</v>
      </c>
      <c r="L59" s="49" t="s">
        <v>43</v>
      </c>
      <c r="M59" s="49" t="s">
        <v>43</v>
      </c>
      <c r="N59" s="49" t="s">
        <v>43</v>
      </c>
      <c r="O59" s="49" t="s">
        <v>43</v>
      </c>
      <c r="P59" s="49" t="s">
        <v>43</v>
      </c>
      <c r="Q59" s="49" t="s">
        <v>43</v>
      </c>
    </row>
    <row r="60" spans="1:17" ht="21.75" customHeight="1" x14ac:dyDescent="0.25">
      <c r="A60" s="45" t="s">
        <v>258</v>
      </c>
      <c r="B60" s="46" t="s">
        <v>60</v>
      </c>
      <c r="C60" s="47" t="s">
        <v>43</v>
      </c>
      <c r="D60" s="53"/>
      <c r="E60" s="49" t="s">
        <v>43</v>
      </c>
      <c r="F60" s="49" t="s">
        <v>43</v>
      </c>
      <c r="G60" s="49" t="s">
        <v>43</v>
      </c>
      <c r="H60" s="49" t="s">
        <v>43</v>
      </c>
      <c r="I60" s="49" t="s">
        <v>43</v>
      </c>
      <c r="J60" s="49" t="s">
        <v>43</v>
      </c>
      <c r="K60" s="49" t="s">
        <v>43</v>
      </c>
      <c r="L60" s="49" t="s">
        <v>43</v>
      </c>
      <c r="M60" s="51">
        <f>$D4*-0.0917</f>
        <v>-18.064900000000002</v>
      </c>
      <c r="N60" s="49" t="s">
        <v>43</v>
      </c>
      <c r="O60" s="49" t="s">
        <v>43</v>
      </c>
      <c r="P60" s="49" t="s">
        <v>43</v>
      </c>
      <c r="Q60" s="49" t="s">
        <v>43</v>
      </c>
    </row>
    <row r="61" spans="1:17" ht="21.75" customHeight="1" x14ac:dyDescent="0.25">
      <c r="A61" s="45" t="s">
        <v>263</v>
      </c>
      <c r="B61" s="46" t="s">
        <v>60</v>
      </c>
      <c r="C61" s="47" t="s">
        <v>266</v>
      </c>
      <c r="D61" s="48">
        <v>5.2269999999999997E-2</v>
      </c>
      <c r="E61" s="49" t="s">
        <v>43</v>
      </c>
      <c r="F61" s="49" t="s">
        <v>43</v>
      </c>
      <c r="G61" s="49" t="s">
        <v>43</v>
      </c>
      <c r="H61" s="49" t="s">
        <v>43</v>
      </c>
      <c r="I61" s="49" t="s">
        <v>43</v>
      </c>
      <c r="J61" s="49" t="s">
        <v>43</v>
      </c>
      <c r="K61" s="49" t="s">
        <v>43</v>
      </c>
      <c r="L61" s="49" t="s">
        <v>43</v>
      </c>
      <c r="M61" s="49" t="s">
        <v>43</v>
      </c>
      <c r="N61" s="49" t="s">
        <v>43</v>
      </c>
      <c r="O61" s="49" t="s">
        <v>43</v>
      </c>
      <c r="P61" s="52">
        <f>$D4*0.05227</f>
        <v>10.297189999999999</v>
      </c>
      <c r="Q61" s="51">
        <f>$D4*-0.03425</f>
        <v>-6.7472500000000002</v>
      </c>
    </row>
    <row r="63" spans="1:17" ht="36" customHeight="1" x14ac:dyDescent="0.25">
      <c r="A63" s="117" t="s">
        <v>541</v>
      </c>
      <c r="B63" s="112"/>
      <c r="C63" s="112"/>
      <c r="D63" s="112"/>
      <c r="E63" s="112"/>
      <c r="F63" s="112"/>
      <c r="G63" s="112"/>
      <c r="H63" s="112"/>
      <c r="I63" s="112"/>
      <c r="J63" s="112"/>
      <c r="K63" s="112"/>
      <c r="L63" s="112"/>
      <c r="M63" s="112"/>
      <c r="N63" s="112"/>
      <c r="O63" s="112"/>
      <c r="P63" s="112"/>
    </row>
  </sheetData>
  <mergeCells count="5">
    <mergeCell ref="A63:P63"/>
    <mergeCell ref="A1:P1"/>
    <mergeCell ref="E4:H4"/>
    <mergeCell ref="A4:C4"/>
    <mergeCell ref="A2:P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65100"/>
  </sheetPr>
  <dimension ref="A1:N44"/>
  <sheetViews>
    <sheetView zoomScaleNormal="100" workbookViewId="0">
      <pane xSplit="1" ySplit="3" topLeftCell="B8" activePane="bottomRight" state="frozen"/>
      <selection pane="topRight" activeCell="B1" sqref="B1"/>
      <selection pane="bottomLeft" activeCell="A4" sqref="A4"/>
      <selection pane="bottomRight" activeCell="O10" sqref="O10"/>
    </sheetView>
  </sheetViews>
  <sheetFormatPr defaultColWidth="8.7109375" defaultRowHeight="15" x14ac:dyDescent="0.25"/>
  <cols>
    <col min="1" max="1" width="27.85546875" bestFit="1" customWidth="1"/>
    <col min="2" max="2" width="9.7109375" bestFit="1" customWidth="1"/>
    <col min="3" max="3" width="12.42578125" bestFit="1" customWidth="1"/>
    <col min="4" max="4" width="40" customWidth="1"/>
    <col min="5" max="5" width="12.85546875" bestFit="1" customWidth="1"/>
    <col min="6" max="6" width="6.5703125" bestFit="1" customWidth="1"/>
    <col min="7" max="7" width="8.140625" bestFit="1" customWidth="1"/>
    <col min="8" max="8" width="9.140625" bestFit="1" customWidth="1"/>
    <col min="9" max="9" width="26" bestFit="1" customWidth="1"/>
    <col min="10" max="10" width="19.7109375" bestFit="1" customWidth="1"/>
    <col min="11" max="11" width="14.42578125" bestFit="1" customWidth="1"/>
    <col min="12" max="12" width="30.28515625" bestFit="1" customWidth="1"/>
  </cols>
  <sheetData>
    <row r="1" spans="1:14" ht="18" customHeight="1" x14ac:dyDescent="0.25">
      <c r="A1" s="114" t="s">
        <v>542</v>
      </c>
      <c r="B1" s="112"/>
      <c r="C1" s="112"/>
      <c r="D1" s="112"/>
      <c r="E1" s="112"/>
      <c r="F1" s="112"/>
      <c r="G1" s="112"/>
      <c r="H1" s="112"/>
      <c r="I1" s="112"/>
      <c r="J1" s="112"/>
      <c r="K1" s="112"/>
      <c r="L1" s="112"/>
      <c r="M1" s="112"/>
      <c r="N1" s="112"/>
    </row>
    <row r="2" spans="1:14" x14ac:dyDescent="0.25">
      <c r="A2" s="122" t="s">
        <v>543</v>
      </c>
      <c r="B2" s="112"/>
      <c r="C2" s="112"/>
      <c r="D2" s="112"/>
      <c r="E2" s="112"/>
      <c r="F2" s="112"/>
      <c r="G2" s="112"/>
      <c r="H2" s="112"/>
      <c r="I2" s="112"/>
      <c r="J2" s="112"/>
      <c r="K2" s="112"/>
      <c r="L2" s="112"/>
      <c r="M2" s="112"/>
      <c r="N2" s="112"/>
    </row>
    <row r="3" spans="1:14" ht="25.5" customHeight="1" x14ac:dyDescent="0.25">
      <c r="A3" s="7" t="s">
        <v>2</v>
      </c>
      <c r="B3" s="7" t="s">
        <v>3</v>
      </c>
      <c r="C3" s="7" t="s">
        <v>544</v>
      </c>
      <c r="D3" s="7" t="s">
        <v>545</v>
      </c>
      <c r="E3" s="7" t="s">
        <v>7</v>
      </c>
      <c r="F3" s="7" t="s">
        <v>526</v>
      </c>
      <c r="G3" s="7" t="s">
        <v>9</v>
      </c>
      <c r="H3" s="7" t="s">
        <v>546</v>
      </c>
      <c r="I3" s="7" t="s">
        <v>547</v>
      </c>
      <c r="J3" s="7" t="s">
        <v>548</v>
      </c>
      <c r="K3" s="7" t="s">
        <v>549</v>
      </c>
      <c r="L3" s="7" t="s">
        <v>550</v>
      </c>
    </row>
    <row r="4" spans="1:14" x14ac:dyDescent="0.25">
      <c r="A4" s="123" t="s">
        <v>551</v>
      </c>
      <c r="B4" s="112"/>
      <c r="C4" s="112"/>
      <c r="D4" s="112"/>
      <c r="E4" s="112"/>
      <c r="F4" s="112"/>
      <c r="G4" s="112"/>
      <c r="H4" s="112"/>
      <c r="I4" s="112"/>
      <c r="J4" s="112"/>
      <c r="K4" s="112"/>
      <c r="L4" s="112"/>
    </row>
    <row r="5" spans="1:14" ht="38.25" customHeight="1" x14ac:dyDescent="0.25">
      <c r="A5" s="8" t="s">
        <v>16</v>
      </c>
      <c r="B5" s="9" t="s">
        <v>17</v>
      </c>
      <c r="C5" s="11" t="s">
        <v>19</v>
      </c>
      <c r="D5" s="10" t="s">
        <v>552</v>
      </c>
      <c r="E5" s="11" t="s">
        <v>21</v>
      </c>
      <c r="F5" s="12">
        <v>0.31664999999999999</v>
      </c>
      <c r="G5" s="13">
        <v>158.32499999999999</v>
      </c>
      <c r="H5" s="13">
        <v>316.64999999999998</v>
      </c>
      <c r="I5" s="10" t="s">
        <v>553</v>
      </c>
      <c r="J5" s="10" t="s">
        <v>554</v>
      </c>
      <c r="K5" s="10"/>
      <c r="L5" s="10" t="s">
        <v>23</v>
      </c>
    </row>
    <row r="6" spans="1:14" ht="38.25" customHeight="1" x14ac:dyDescent="0.25">
      <c r="A6" s="8" t="s">
        <v>25</v>
      </c>
      <c r="B6" s="9" t="s">
        <v>17</v>
      </c>
      <c r="C6" s="11" t="s">
        <v>27</v>
      </c>
      <c r="D6" s="10" t="s">
        <v>28</v>
      </c>
      <c r="E6" s="11" t="s">
        <v>29</v>
      </c>
      <c r="F6" s="12">
        <v>0.29736000000000001</v>
      </c>
      <c r="G6" s="13">
        <v>148.68</v>
      </c>
      <c r="H6" s="13">
        <v>297.36</v>
      </c>
      <c r="I6" s="10" t="s">
        <v>555</v>
      </c>
      <c r="J6" s="10" t="s">
        <v>556</v>
      </c>
      <c r="K6" s="10"/>
      <c r="L6" s="10"/>
    </row>
    <row r="7" spans="1:14" ht="38.25" customHeight="1" x14ac:dyDescent="0.25">
      <c r="A7" s="8" t="s">
        <v>32</v>
      </c>
      <c r="B7" s="9" t="s">
        <v>17</v>
      </c>
      <c r="C7" s="11" t="s">
        <v>34</v>
      </c>
      <c r="D7" s="10" t="s">
        <v>35</v>
      </c>
      <c r="E7" s="11" t="s">
        <v>36</v>
      </c>
      <c r="F7" s="12">
        <v>0.5</v>
      </c>
      <c r="G7" s="13">
        <v>250</v>
      </c>
      <c r="H7" s="13">
        <v>500</v>
      </c>
      <c r="I7" s="10" t="s">
        <v>557</v>
      </c>
      <c r="J7" s="10" t="s">
        <v>556</v>
      </c>
      <c r="K7" s="10"/>
      <c r="L7" s="10"/>
    </row>
    <row r="8" spans="1:14" ht="63.75" customHeight="1" x14ac:dyDescent="0.25">
      <c r="A8" s="8" t="s">
        <v>39</v>
      </c>
      <c r="B8" s="9" t="s">
        <v>17</v>
      </c>
      <c r="C8" s="11" t="s">
        <v>41</v>
      </c>
      <c r="D8" s="10" t="s">
        <v>558</v>
      </c>
      <c r="E8" s="11" t="s">
        <v>42</v>
      </c>
      <c r="F8" s="12">
        <v>0.46755000000000002</v>
      </c>
      <c r="G8" s="13">
        <v>233.77500000000001</v>
      </c>
      <c r="H8" s="13">
        <v>467.55</v>
      </c>
      <c r="I8" s="10" t="s">
        <v>559</v>
      </c>
      <c r="J8" s="10" t="s">
        <v>556</v>
      </c>
      <c r="K8" s="10"/>
      <c r="L8" s="10"/>
    </row>
    <row r="9" spans="1:14" ht="51" customHeight="1" x14ac:dyDescent="0.25">
      <c r="A9" s="8" t="s">
        <v>44</v>
      </c>
      <c r="B9" s="9" t="s">
        <v>17</v>
      </c>
      <c r="C9" s="11" t="s">
        <v>46</v>
      </c>
      <c r="D9" s="10" t="s">
        <v>560</v>
      </c>
      <c r="E9" s="11" t="s">
        <v>47</v>
      </c>
      <c r="F9" s="12">
        <v>0.19395999999999999</v>
      </c>
      <c r="G9" s="16">
        <v>96.98</v>
      </c>
      <c r="H9" s="13">
        <v>193.96</v>
      </c>
      <c r="I9" s="10" t="s">
        <v>561</v>
      </c>
      <c r="J9" s="10" t="s">
        <v>556</v>
      </c>
      <c r="K9" s="10"/>
      <c r="L9" s="10"/>
    </row>
    <row r="10" spans="1:14" ht="38.25" customHeight="1" x14ac:dyDescent="0.25">
      <c r="A10" s="8" t="s">
        <v>49</v>
      </c>
      <c r="B10" s="9" t="s">
        <v>17</v>
      </c>
      <c r="C10" s="11" t="s">
        <v>50</v>
      </c>
      <c r="D10" s="10" t="s">
        <v>56</v>
      </c>
      <c r="E10" s="11" t="s">
        <v>52</v>
      </c>
      <c r="F10" s="12">
        <v>0.21329000000000001</v>
      </c>
      <c r="G10" s="13">
        <v>106.645</v>
      </c>
      <c r="H10" s="13">
        <v>213.29</v>
      </c>
      <c r="I10" s="10" t="s">
        <v>562</v>
      </c>
      <c r="J10" s="10" t="s">
        <v>556</v>
      </c>
      <c r="K10" s="10"/>
      <c r="L10" s="10"/>
    </row>
    <row r="11" spans="1:14" ht="51" customHeight="1" x14ac:dyDescent="0.25">
      <c r="A11" s="8" t="s">
        <v>54</v>
      </c>
      <c r="B11" s="9" t="s">
        <v>17</v>
      </c>
      <c r="C11" s="11" t="s">
        <v>55</v>
      </c>
      <c r="D11" s="10" t="s">
        <v>563</v>
      </c>
      <c r="E11" s="11" t="s">
        <v>57</v>
      </c>
      <c r="F11" s="12">
        <v>0.04</v>
      </c>
      <c r="G11" s="15">
        <v>20</v>
      </c>
      <c r="H11" s="15">
        <v>40</v>
      </c>
      <c r="I11" s="10" t="s">
        <v>564</v>
      </c>
      <c r="J11" s="10" t="s">
        <v>556</v>
      </c>
      <c r="K11" s="10"/>
      <c r="L11" s="10"/>
    </row>
    <row r="12" spans="1:14" ht="38.25" customHeight="1" x14ac:dyDescent="0.25">
      <c r="A12" s="8" t="s">
        <v>64</v>
      </c>
      <c r="B12" s="9" t="s">
        <v>17</v>
      </c>
      <c r="C12" s="11" t="s">
        <v>65</v>
      </c>
      <c r="D12" s="10" t="s">
        <v>565</v>
      </c>
      <c r="E12" s="11" t="s">
        <v>66</v>
      </c>
      <c r="F12" s="12">
        <v>0.26</v>
      </c>
      <c r="G12" s="13">
        <v>130</v>
      </c>
      <c r="H12" s="13">
        <v>260</v>
      </c>
      <c r="I12" s="10" t="s">
        <v>566</v>
      </c>
      <c r="J12" s="10" t="s">
        <v>556</v>
      </c>
      <c r="K12" s="10"/>
      <c r="L12" s="10"/>
    </row>
    <row r="13" spans="1:14" ht="76.5" customHeight="1" x14ac:dyDescent="0.25">
      <c r="A13" s="8" t="s">
        <v>68</v>
      </c>
      <c r="B13" s="9" t="s">
        <v>17</v>
      </c>
      <c r="C13" s="11" t="s">
        <v>69</v>
      </c>
      <c r="D13" s="10" t="s">
        <v>567</v>
      </c>
      <c r="E13" s="11" t="s">
        <v>71</v>
      </c>
      <c r="F13" s="12">
        <v>0.3</v>
      </c>
      <c r="G13" s="13">
        <v>150</v>
      </c>
      <c r="H13" s="13">
        <v>300</v>
      </c>
      <c r="I13" s="10" t="s">
        <v>568</v>
      </c>
      <c r="J13" s="10" t="s">
        <v>556</v>
      </c>
      <c r="K13" s="10"/>
      <c r="L13" s="10"/>
    </row>
    <row r="14" spans="1:14" ht="63.75" customHeight="1" x14ac:dyDescent="0.25">
      <c r="A14" s="8" t="s">
        <v>85</v>
      </c>
      <c r="B14" s="9" t="s">
        <v>17</v>
      </c>
      <c r="C14" s="11" t="s">
        <v>86</v>
      </c>
      <c r="D14" s="10" t="s">
        <v>569</v>
      </c>
      <c r="E14" s="11" t="s">
        <v>540</v>
      </c>
      <c r="F14" s="12">
        <v>0.40350000000000003</v>
      </c>
      <c r="G14" s="13">
        <v>201.75</v>
      </c>
      <c r="H14" s="13">
        <v>403.5</v>
      </c>
      <c r="I14" s="10" t="s">
        <v>570</v>
      </c>
      <c r="J14" s="10" t="s">
        <v>556</v>
      </c>
      <c r="K14" s="10"/>
      <c r="L14" s="10"/>
    </row>
    <row r="15" spans="1:14" ht="63.75" customHeight="1" x14ac:dyDescent="0.25">
      <c r="A15" s="8" t="s">
        <v>275</v>
      </c>
      <c r="B15" s="9" t="s">
        <v>17</v>
      </c>
      <c r="C15" s="11" t="s">
        <v>156</v>
      </c>
      <c r="D15" s="10" t="s">
        <v>277</v>
      </c>
      <c r="E15" s="11" t="s">
        <v>278</v>
      </c>
      <c r="F15" s="12">
        <v>0.11</v>
      </c>
      <c r="G15" s="16">
        <v>55</v>
      </c>
      <c r="H15" s="13">
        <v>110</v>
      </c>
      <c r="I15" s="10" t="s">
        <v>571</v>
      </c>
      <c r="J15" s="10" t="s">
        <v>556</v>
      </c>
      <c r="K15" s="10"/>
      <c r="L15" s="10"/>
    </row>
    <row r="16" spans="1:14" ht="63.75" customHeight="1" x14ac:dyDescent="0.25">
      <c r="A16" s="8" t="s">
        <v>90</v>
      </c>
      <c r="B16" s="9" t="s">
        <v>17</v>
      </c>
      <c r="C16" s="11" t="s">
        <v>50</v>
      </c>
      <c r="D16" s="10" t="s">
        <v>91</v>
      </c>
      <c r="E16" s="11" t="s">
        <v>52</v>
      </c>
      <c r="F16" s="12">
        <v>0.21299999999999999</v>
      </c>
      <c r="G16" s="13">
        <v>106.5</v>
      </c>
      <c r="H16" s="13">
        <v>213</v>
      </c>
      <c r="I16" s="10" t="s">
        <v>572</v>
      </c>
      <c r="J16" s="10" t="s">
        <v>556</v>
      </c>
      <c r="K16" s="10"/>
      <c r="L16" s="10"/>
    </row>
    <row r="17" spans="1:12" ht="51" customHeight="1" x14ac:dyDescent="0.25">
      <c r="A17" s="8" t="s">
        <v>93</v>
      </c>
      <c r="B17" s="9" t="s">
        <v>17</v>
      </c>
      <c r="C17" s="11" t="s">
        <v>95</v>
      </c>
      <c r="D17" s="10" t="s">
        <v>96</v>
      </c>
      <c r="E17" s="11" t="s">
        <v>43</v>
      </c>
      <c r="F17" s="11"/>
      <c r="G17" s="11"/>
      <c r="H17" s="11"/>
      <c r="I17" s="10" t="s">
        <v>573</v>
      </c>
      <c r="J17" s="10" t="s">
        <v>556</v>
      </c>
      <c r="K17" s="10"/>
      <c r="L17" s="10"/>
    </row>
    <row r="18" spans="1:12" ht="105" customHeight="1" x14ac:dyDescent="0.25">
      <c r="A18" s="8" t="s">
        <v>100</v>
      </c>
      <c r="B18" s="9" t="s">
        <v>101</v>
      </c>
      <c r="C18" s="11"/>
      <c r="D18" s="10"/>
      <c r="E18" s="11" t="s">
        <v>43</v>
      </c>
      <c r="F18" s="11"/>
      <c r="G18" s="11"/>
      <c r="H18" s="11"/>
      <c r="I18" s="10" t="s">
        <v>573</v>
      </c>
      <c r="J18" s="10" t="s">
        <v>556</v>
      </c>
      <c r="K18" s="10"/>
      <c r="L18" s="10"/>
    </row>
    <row r="19" spans="1:12" x14ac:dyDescent="0.25">
      <c r="A19" s="121" t="s">
        <v>574</v>
      </c>
      <c r="B19" s="112"/>
      <c r="C19" s="112"/>
      <c r="D19" s="112"/>
      <c r="E19" s="112"/>
      <c r="F19" s="112"/>
      <c r="G19" s="112"/>
      <c r="H19" s="112"/>
      <c r="I19" s="112"/>
      <c r="J19" s="112"/>
      <c r="K19" s="112"/>
      <c r="L19" s="112"/>
    </row>
    <row r="20" spans="1:12" ht="51" customHeight="1" x14ac:dyDescent="0.25">
      <c r="A20" s="17" t="s">
        <v>103</v>
      </c>
      <c r="B20" s="18" t="s">
        <v>60</v>
      </c>
      <c r="C20" s="20" t="s">
        <v>104</v>
      </c>
      <c r="D20" s="19" t="s">
        <v>105</v>
      </c>
      <c r="E20" s="20" t="s">
        <v>106</v>
      </c>
      <c r="F20" s="21">
        <v>0.76981999999999995</v>
      </c>
      <c r="G20" s="54">
        <v>384.91</v>
      </c>
      <c r="H20" s="54">
        <v>769.82</v>
      </c>
      <c r="I20" s="19" t="s">
        <v>575</v>
      </c>
      <c r="J20" s="19" t="s">
        <v>576</v>
      </c>
      <c r="K20" s="19"/>
      <c r="L20" s="19"/>
    </row>
    <row r="21" spans="1:12" ht="51" customHeight="1" x14ac:dyDescent="0.25">
      <c r="A21" s="17" t="s">
        <v>108</v>
      </c>
      <c r="B21" s="18" t="s">
        <v>60</v>
      </c>
      <c r="C21" s="20" t="s">
        <v>110</v>
      </c>
      <c r="D21" s="19" t="s">
        <v>111</v>
      </c>
      <c r="E21" s="20" t="s">
        <v>112</v>
      </c>
      <c r="F21" s="21">
        <v>0.17348</v>
      </c>
      <c r="G21" s="54">
        <v>86.74</v>
      </c>
      <c r="H21" s="54">
        <v>173.48</v>
      </c>
      <c r="I21" s="19" t="s">
        <v>577</v>
      </c>
      <c r="J21" s="19" t="s">
        <v>576</v>
      </c>
      <c r="K21" s="19"/>
      <c r="L21" s="19"/>
    </row>
    <row r="22" spans="1:12" ht="51" customHeight="1" x14ac:dyDescent="0.25">
      <c r="A22" s="17" t="s">
        <v>79</v>
      </c>
      <c r="B22" s="18" t="s">
        <v>60</v>
      </c>
      <c r="C22" s="20" t="s">
        <v>81</v>
      </c>
      <c r="D22" s="19" t="s">
        <v>578</v>
      </c>
      <c r="E22" s="20" t="s">
        <v>83</v>
      </c>
      <c r="F22" s="21">
        <v>9.5699999999999993E-2</v>
      </c>
      <c r="G22" s="54">
        <v>47.85</v>
      </c>
      <c r="H22" s="54">
        <v>95.7</v>
      </c>
      <c r="I22" s="19" t="s">
        <v>579</v>
      </c>
      <c r="J22" s="19" t="s">
        <v>576</v>
      </c>
      <c r="K22" s="19"/>
      <c r="L22" s="19"/>
    </row>
    <row r="23" spans="1:12" ht="51" customHeight="1" x14ac:dyDescent="0.25">
      <c r="A23" s="17" t="s">
        <v>59</v>
      </c>
      <c r="B23" s="18" t="s">
        <v>60</v>
      </c>
      <c r="C23" s="20" t="s">
        <v>61</v>
      </c>
      <c r="D23" s="19" t="s">
        <v>580</v>
      </c>
      <c r="E23" s="20" t="s">
        <v>62</v>
      </c>
      <c r="F23" s="21">
        <v>0.30569000000000002</v>
      </c>
      <c r="G23" s="54">
        <v>152.845</v>
      </c>
      <c r="H23" s="54">
        <v>305.69</v>
      </c>
      <c r="I23" s="19" t="s">
        <v>581</v>
      </c>
      <c r="J23" s="19" t="s">
        <v>576</v>
      </c>
      <c r="K23" s="19"/>
      <c r="L23" s="19"/>
    </row>
    <row r="24" spans="1:12" ht="51" customHeight="1" x14ac:dyDescent="0.25">
      <c r="A24" s="17" t="s">
        <v>113</v>
      </c>
      <c r="B24" s="18" t="s">
        <v>60</v>
      </c>
      <c r="C24" s="20" t="s">
        <v>114</v>
      </c>
      <c r="D24" s="19" t="s">
        <v>115</v>
      </c>
      <c r="E24" s="20" t="s">
        <v>116</v>
      </c>
      <c r="F24" s="21">
        <v>1.5939999999999999E-2</v>
      </c>
      <c r="G24" s="54">
        <v>7.97</v>
      </c>
      <c r="H24" s="54">
        <v>15.94</v>
      </c>
      <c r="I24" s="19" t="s">
        <v>564</v>
      </c>
      <c r="J24" s="19" t="s">
        <v>576</v>
      </c>
      <c r="K24" s="19"/>
      <c r="L24" s="19"/>
    </row>
    <row r="25" spans="1:12" ht="38.25" customHeight="1" x14ac:dyDescent="0.25">
      <c r="A25" s="17" t="s">
        <v>73</v>
      </c>
      <c r="B25" s="18" t="s">
        <v>60</v>
      </c>
      <c r="C25" s="20" t="s">
        <v>156</v>
      </c>
      <c r="D25" s="19" t="s">
        <v>582</v>
      </c>
      <c r="E25" s="20" t="s">
        <v>77</v>
      </c>
      <c r="F25" s="21">
        <v>0.78681999999999996</v>
      </c>
      <c r="G25" s="54">
        <v>393.41</v>
      </c>
      <c r="H25" s="54">
        <v>786.82</v>
      </c>
      <c r="I25" s="19" t="s">
        <v>583</v>
      </c>
      <c r="J25" s="19" t="s">
        <v>576</v>
      </c>
      <c r="K25" s="19"/>
      <c r="L25" s="19"/>
    </row>
    <row r="26" spans="1:12" ht="38.25" customHeight="1" x14ac:dyDescent="0.25">
      <c r="A26" s="17" t="s">
        <v>118</v>
      </c>
      <c r="B26" s="18" t="s">
        <v>60</v>
      </c>
      <c r="C26" s="20" t="s">
        <v>120</v>
      </c>
      <c r="D26" s="19" t="s">
        <v>584</v>
      </c>
      <c r="E26" s="20" t="s">
        <v>43</v>
      </c>
      <c r="F26" s="20"/>
      <c r="G26" s="20"/>
      <c r="H26" s="20"/>
      <c r="I26" s="19" t="s">
        <v>573</v>
      </c>
      <c r="J26" s="19" t="s">
        <v>576</v>
      </c>
      <c r="K26" s="19"/>
      <c r="L26" s="19"/>
    </row>
    <row r="27" spans="1:12" ht="38.25" customHeight="1" x14ac:dyDescent="0.25">
      <c r="A27" s="17" t="s">
        <v>123</v>
      </c>
      <c r="B27" s="18" t="s">
        <v>60</v>
      </c>
      <c r="C27" s="20" t="s">
        <v>19</v>
      </c>
      <c r="D27" s="19" t="s">
        <v>125</v>
      </c>
      <c r="E27" s="20" t="s">
        <v>126</v>
      </c>
      <c r="F27" s="21">
        <v>0.15659999999999999</v>
      </c>
      <c r="G27" s="54">
        <v>78.3</v>
      </c>
      <c r="H27" s="54">
        <v>156.6</v>
      </c>
      <c r="I27" s="19" t="s">
        <v>585</v>
      </c>
      <c r="J27" s="19" t="s">
        <v>576</v>
      </c>
      <c r="K27" s="19"/>
      <c r="L27" s="19"/>
    </row>
    <row r="28" spans="1:12" ht="38.25" customHeight="1" x14ac:dyDescent="0.25">
      <c r="A28" s="17" t="s">
        <v>128</v>
      </c>
      <c r="B28" s="18" t="s">
        <v>60</v>
      </c>
      <c r="C28" s="20" t="s">
        <v>129</v>
      </c>
      <c r="D28" s="19" t="s">
        <v>130</v>
      </c>
      <c r="E28" s="20" t="s">
        <v>131</v>
      </c>
      <c r="F28" s="21">
        <v>0.32323000000000002</v>
      </c>
      <c r="G28" s="54">
        <v>161.61500000000001</v>
      </c>
      <c r="H28" s="54">
        <v>323.23</v>
      </c>
      <c r="I28" s="19" t="s">
        <v>586</v>
      </c>
      <c r="J28" s="19" t="s">
        <v>576</v>
      </c>
      <c r="K28" s="19"/>
      <c r="L28" s="19"/>
    </row>
    <row r="29" spans="1:12" ht="30" customHeight="1" x14ac:dyDescent="0.25">
      <c r="A29" s="17" t="s">
        <v>133</v>
      </c>
      <c r="B29" s="18" t="s">
        <v>60</v>
      </c>
      <c r="C29" s="20" t="s">
        <v>135</v>
      </c>
      <c r="D29" s="19" t="s">
        <v>136</v>
      </c>
      <c r="E29" s="20" t="s">
        <v>43</v>
      </c>
      <c r="F29" s="20"/>
      <c r="G29" s="20"/>
      <c r="H29" s="20"/>
      <c r="I29" s="19" t="s">
        <v>573</v>
      </c>
      <c r="J29" s="19" t="s">
        <v>576</v>
      </c>
      <c r="K29" s="19"/>
      <c r="L29" s="19"/>
    </row>
    <row r="30" spans="1:12" ht="38.25" customHeight="1" x14ac:dyDescent="0.25">
      <c r="A30" s="17" t="s">
        <v>154</v>
      </c>
      <c r="B30" s="18" t="s">
        <v>60</v>
      </c>
      <c r="C30" s="20" t="s">
        <v>156</v>
      </c>
      <c r="D30" s="19" t="s">
        <v>157</v>
      </c>
      <c r="E30" s="20" t="s">
        <v>158</v>
      </c>
      <c r="F30" s="21">
        <v>0.39251999999999998</v>
      </c>
      <c r="G30" s="54">
        <v>196.26</v>
      </c>
      <c r="H30" s="54">
        <v>392.52</v>
      </c>
      <c r="I30" s="19" t="s">
        <v>587</v>
      </c>
      <c r="J30" s="19" t="s">
        <v>576</v>
      </c>
      <c r="K30" s="19"/>
      <c r="L30" s="19"/>
    </row>
    <row r="31" spans="1:12" ht="38.25" customHeight="1" x14ac:dyDescent="0.25">
      <c r="A31" s="17" t="s">
        <v>165</v>
      </c>
      <c r="B31" s="18" t="s">
        <v>60</v>
      </c>
      <c r="C31" s="20" t="s">
        <v>166</v>
      </c>
      <c r="D31" s="19" t="s">
        <v>167</v>
      </c>
      <c r="E31" s="20" t="s">
        <v>168</v>
      </c>
      <c r="F31" s="21">
        <v>0.22977</v>
      </c>
      <c r="G31" s="54">
        <v>114.88500000000001</v>
      </c>
      <c r="H31" s="54">
        <v>229.77</v>
      </c>
      <c r="I31" s="19" t="s">
        <v>588</v>
      </c>
      <c r="J31" s="19" t="s">
        <v>576</v>
      </c>
      <c r="K31" s="19"/>
      <c r="L31" s="19"/>
    </row>
    <row r="32" spans="1:12" ht="38.25" customHeight="1" x14ac:dyDescent="0.25">
      <c r="A32" s="17" t="s">
        <v>90</v>
      </c>
      <c r="B32" s="18" t="s">
        <v>60</v>
      </c>
      <c r="C32" s="20" t="s">
        <v>50</v>
      </c>
      <c r="D32" s="19" t="s">
        <v>170</v>
      </c>
      <c r="E32" s="20" t="s">
        <v>171</v>
      </c>
      <c r="F32" s="21">
        <v>0.21299999999999999</v>
      </c>
      <c r="G32" s="54">
        <v>106.5</v>
      </c>
      <c r="H32" s="54">
        <v>213</v>
      </c>
      <c r="I32" s="19" t="s">
        <v>572</v>
      </c>
      <c r="J32" s="19" t="s">
        <v>576</v>
      </c>
      <c r="K32" s="19"/>
      <c r="L32" s="19"/>
    </row>
    <row r="33" spans="1:12" ht="76.5" customHeight="1" x14ac:dyDescent="0.25">
      <c r="A33" s="17" t="s">
        <v>172</v>
      </c>
      <c r="B33" s="18" t="s">
        <v>60</v>
      </c>
      <c r="C33" s="20" t="s">
        <v>173</v>
      </c>
      <c r="D33" s="19" t="s">
        <v>174</v>
      </c>
      <c r="E33" s="20" t="s">
        <v>175</v>
      </c>
      <c r="F33" s="21">
        <v>0.05</v>
      </c>
      <c r="G33" s="54">
        <v>25</v>
      </c>
      <c r="H33" s="54">
        <v>50</v>
      </c>
      <c r="I33" s="19" t="s">
        <v>579</v>
      </c>
      <c r="J33" s="19" t="s">
        <v>576</v>
      </c>
      <c r="K33" s="19"/>
      <c r="L33" s="19"/>
    </row>
    <row r="34" spans="1:12" ht="38.25" customHeight="1" x14ac:dyDescent="0.25">
      <c r="A34" s="17" t="s">
        <v>181</v>
      </c>
      <c r="B34" s="18" t="s">
        <v>60</v>
      </c>
      <c r="C34" s="20" t="s">
        <v>183</v>
      </c>
      <c r="D34" s="19" t="s">
        <v>184</v>
      </c>
      <c r="E34" s="20" t="s">
        <v>185</v>
      </c>
      <c r="F34" s="21">
        <v>1.044E-2</v>
      </c>
      <c r="G34" s="54">
        <v>5.22</v>
      </c>
      <c r="H34" s="54">
        <v>10.44</v>
      </c>
      <c r="I34" s="19" t="s">
        <v>564</v>
      </c>
      <c r="J34" s="19" t="s">
        <v>576</v>
      </c>
      <c r="K34" s="19"/>
      <c r="L34" s="19"/>
    </row>
    <row r="35" spans="1:12" ht="38.25" customHeight="1" x14ac:dyDescent="0.25">
      <c r="A35" s="17" t="s">
        <v>186</v>
      </c>
      <c r="B35" s="18" t="s">
        <v>60</v>
      </c>
      <c r="C35" s="20" t="s">
        <v>188</v>
      </c>
      <c r="D35" s="19" t="s">
        <v>189</v>
      </c>
      <c r="E35" s="20" t="s">
        <v>190</v>
      </c>
      <c r="F35" s="21">
        <v>0.04</v>
      </c>
      <c r="G35" s="54">
        <v>20</v>
      </c>
      <c r="H35" s="54">
        <v>40</v>
      </c>
      <c r="I35" s="19" t="s">
        <v>564</v>
      </c>
      <c r="J35" s="19" t="s">
        <v>576</v>
      </c>
      <c r="K35" s="19"/>
      <c r="L35" s="19"/>
    </row>
    <row r="36" spans="1:12" ht="38.25" customHeight="1" x14ac:dyDescent="0.25">
      <c r="A36" s="17" t="s">
        <v>203</v>
      </c>
      <c r="B36" s="18" t="s">
        <v>60</v>
      </c>
      <c r="C36" s="20" t="s">
        <v>204</v>
      </c>
      <c r="D36" s="19" t="s">
        <v>205</v>
      </c>
      <c r="E36" s="20" t="s">
        <v>206</v>
      </c>
      <c r="F36" s="21">
        <v>1.8556E-2</v>
      </c>
      <c r="G36" s="54">
        <v>9.2780000000000005</v>
      </c>
      <c r="H36" s="54">
        <v>18.556000000000001</v>
      </c>
      <c r="I36" s="19" t="s">
        <v>564</v>
      </c>
      <c r="J36" s="19" t="s">
        <v>576</v>
      </c>
      <c r="K36" s="19"/>
      <c r="L36" s="19"/>
    </row>
    <row r="37" spans="1:12" ht="38.25" customHeight="1" x14ac:dyDescent="0.25">
      <c r="A37" s="17" t="s">
        <v>211</v>
      </c>
      <c r="B37" s="18" t="s">
        <v>60</v>
      </c>
      <c r="C37" s="20" t="s">
        <v>212</v>
      </c>
      <c r="D37" s="19" t="s">
        <v>213</v>
      </c>
      <c r="E37" s="20" t="s">
        <v>214</v>
      </c>
      <c r="F37" s="21">
        <v>0.23807</v>
      </c>
      <c r="G37" s="54">
        <v>119.035</v>
      </c>
      <c r="H37" s="54">
        <v>238.07</v>
      </c>
      <c r="I37" s="19" t="s">
        <v>589</v>
      </c>
      <c r="J37" s="19" t="s">
        <v>576</v>
      </c>
      <c r="K37" s="19"/>
      <c r="L37" s="19"/>
    </row>
    <row r="38" spans="1:12" ht="30" customHeight="1" x14ac:dyDescent="0.25">
      <c r="A38" s="17" t="s">
        <v>234</v>
      </c>
      <c r="B38" s="18" t="s">
        <v>60</v>
      </c>
      <c r="C38" s="20" t="s">
        <v>104</v>
      </c>
      <c r="D38" s="19" t="s">
        <v>235</v>
      </c>
      <c r="E38" s="20" t="s">
        <v>43</v>
      </c>
      <c r="F38" s="20"/>
      <c r="G38" s="20"/>
      <c r="H38" s="20"/>
      <c r="I38" s="19" t="s">
        <v>573</v>
      </c>
      <c r="J38" s="19" t="s">
        <v>576</v>
      </c>
      <c r="K38" s="19"/>
      <c r="L38" s="19"/>
    </row>
    <row r="39" spans="1:12" ht="76.5" customHeight="1" x14ac:dyDescent="0.25">
      <c r="A39" s="17" t="s">
        <v>236</v>
      </c>
      <c r="B39" s="18" t="s">
        <v>60</v>
      </c>
      <c r="C39" s="20" t="s">
        <v>237</v>
      </c>
      <c r="D39" s="19" t="s">
        <v>590</v>
      </c>
      <c r="E39" s="20" t="s">
        <v>239</v>
      </c>
      <c r="F39" s="21">
        <v>0.05</v>
      </c>
      <c r="G39" s="54">
        <v>25</v>
      </c>
      <c r="H39" s="54">
        <v>50</v>
      </c>
      <c r="I39" s="19" t="s">
        <v>579</v>
      </c>
      <c r="J39" s="19" t="s">
        <v>576</v>
      </c>
      <c r="K39" s="19"/>
      <c r="L39" s="19"/>
    </row>
    <row r="40" spans="1:12" ht="51" customHeight="1" x14ac:dyDescent="0.25">
      <c r="A40" s="17" t="s">
        <v>240</v>
      </c>
      <c r="B40" s="18" t="s">
        <v>60</v>
      </c>
      <c r="C40" s="20" t="s">
        <v>241</v>
      </c>
      <c r="D40" s="19" t="s">
        <v>242</v>
      </c>
      <c r="E40" s="20" t="s">
        <v>43</v>
      </c>
      <c r="F40" s="20"/>
      <c r="G40" s="20"/>
      <c r="H40" s="20"/>
      <c r="I40" s="19" t="s">
        <v>573</v>
      </c>
      <c r="J40" s="19" t="s">
        <v>576</v>
      </c>
      <c r="K40" s="19"/>
      <c r="L40" s="19"/>
    </row>
    <row r="41" spans="1:12" ht="51" customHeight="1" x14ac:dyDescent="0.25">
      <c r="A41" s="17" t="s">
        <v>244</v>
      </c>
      <c r="B41" s="18" t="s">
        <v>60</v>
      </c>
      <c r="C41" s="20" t="s">
        <v>246</v>
      </c>
      <c r="D41" s="19" t="s">
        <v>247</v>
      </c>
      <c r="E41" s="20" t="s">
        <v>21</v>
      </c>
      <c r="F41" s="21">
        <v>0.31739000000000001</v>
      </c>
      <c r="G41" s="54">
        <v>158.69499999999999</v>
      </c>
      <c r="H41" s="54">
        <v>317.39</v>
      </c>
      <c r="I41" s="19" t="s">
        <v>591</v>
      </c>
      <c r="J41" s="19" t="s">
        <v>576</v>
      </c>
      <c r="K41" s="19"/>
      <c r="L41" s="19"/>
    </row>
    <row r="42" spans="1:12" ht="30" customHeight="1" x14ac:dyDescent="0.25">
      <c r="A42" s="17" t="s">
        <v>248</v>
      </c>
      <c r="B42" s="18" t="s">
        <v>60</v>
      </c>
      <c r="C42" s="20" t="s">
        <v>250</v>
      </c>
      <c r="D42" s="19" t="s">
        <v>251</v>
      </c>
      <c r="E42" s="20" t="s">
        <v>43</v>
      </c>
      <c r="F42" s="20"/>
      <c r="G42" s="20"/>
      <c r="H42" s="20"/>
      <c r="I42" s="19" t="s">
        <v>573</v>
      </c>
      <c r="J42" s="19" t="s">
        <v>576</v>
      </c>
      <c r="K42" s="19"/>
      <c r="L42" s="19"/>
    </row>
    <row r="43" spans="1:12" ht="51" customHeight="1" x14ac:dyDescent="0.25">
      <c r="A43" s="17" t="s">
        <v>253</v>
      </c>
      <c r="B43" s="18" t="s">
        <v>60</v>
      </c>
      <c r="C43" s="20" t="s">
        <v>255</v>
      </c>
      <c r="D43" s="19" t="s">
        <v>256</v>
      </c>
      <c r="E43" s="20" t="s">
        <v>257</v>
      </c>
      <c r="F43" s="21">
        <v>0.06</v>
      </c>
      <c r="G43" s="54">
        <v>30</v>
      </c>
      <c r="H43" s="54">
        <v>60</v>
      </c>
      <c r="I43" s="19" t="s">
        <v>579</v>
      </c>
      <c r="J43" s="19" t="s">
        <v>576</v>
      </c>
      <c r="K43" s="19"/>
      <c r="L43" s="19"/>
    </row>
    <row r="44" spans="1:12" ht="51" customHeight="1" x14ac:dyDescent="0.25">
      <c r="A44" s="17" t="s">
        <v>263</v>
      </c>
      <c r="B44" s="18" t="s">
        <v>60</v>
      </c>
      <c r="C44" s="20" t="s">
        <v>264</v>
      </c>
      <c r="D44" s="19" t="s">
        <v>265</v>
      </c>
      <c r="E44" s="20" t="s">
        <v>266</v>
      </c>
      <c r="F44" s="21">
        <v>5.2269999999999997E-2</v>
      </c>
      <c r="G44" s="54">
        <v>26.135000000000002</v>
      </c>
      <c r="H44" s="54">
        <v>52.27</v>
      </c>
      <c r="I44" s="19" t="s">
        <v>579</v>
      </c>
      <c r="J44" s="19" t="s">
        <v>576</v>
      </c>
      <c r="K44" s="19"/>
      <c r="L44" s="19"/>
    </row>
  </sheetData>
  <mergeCells count="4">
    <mergeCell ref="A19:L19"/>
    <mergeCell ref="A2:N2"/>
    <mergeCell ref="A4:L4"/>
    <mergeCell ref="A1:N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D4037"/>
  </sheetPr>
  <dimension ref="A1:N32"/>
  <sheetViews>
    <sheetView zoomScaleNormal="100" workbookViewId="0">
      <pane xSplit="1" ySplit="3" topLeftCell="B16" activePane="bottomRight" state="frozen"/>
      <selection pane="topRight" activeCell="B1" sqref="B1"/>
      <selection pane="bottomLeft" activeCell="A4" sqref="A4"/>
      <selection pane="bottomRight" activeCell="K16" sqref="K16"/>
    </sheetView>
  </sheetViews>
  <sheetFormatPr defaultColWidth="8.7109375" defaultRowHeight="15" x14ac:dyDescent="0.25"/>
  <cols>
    <col min="1" max="1" width="27.42578125" bestFit="1" customWidth="1"/>
    <col min="2" max="2" width="20.42578125" bestFit="1" customWidth="1"/>
    <col min="3" max="3" width="12.42578125" bestFit="1" customWidth="1"/>
    <col min="4" max="4" width="56.5703125" bestFit="1" customWidth="1"/>
    <col min="5" max="5" width="12.7109375" bestFit="1" customWidth="1"/>
    <col min="6" max="6" width="6.5703125" bestFit="1" customWidth="1"/>
    <col min="7" max="7" width="8.140625" bestFit="1" customWidth="1"/>
    <col min="8" max="8" width="9.140625" bestFit="1" customWidth="1"/>
    <col min="9" max="9" width="26" bestFit="1" customWidth="1"/>
    <col min="10" max="10" width="16.5703125" bestFit="1" customWidth="1"/>
    <col min="11" max="11" width="14.42578125" bestFit="1" customWidth="1"/>
    <col min="12" max="12" width="9" bestFit="1" customWidth="1"/>
  </cols>
  <sheetData>
    <row r="1" spans="1:14" ht="18" customHeight="1" x14ac:dyDescent="0.25">
      <c r="A1" s="114" t="s">
        <v>592</v>
      </c>
      <c r="B1" s="112"/>
      <c r="C1" s="112"/>
      <c r="D1" s="112"/>
      <c r="E1" s="112"/>
      <c r="F1" s="112"/>
      <c r="G1" s="112"/>
      <c r="H1" s="112"/>
      <c r="I1" s="112"/>
      <c r="J1" s="112"/>
      <c r="K1" s="112"/>
      <c r="L1" s="112"/>
      <c r="M1" s="112"/>
      <c r="N1" s="112"/>
    </row>
    <row r="2" spans="1:14" x14ac:dyDescent="0.25">
      <c r="A2" s="124" t="s">
        <v>593</v>
      </c>
      <c r="B2" s="112"/>
      <c r="C2" s="112"/>
      <c r="D2" s="112"/>
      <c r="E2" s="112"/>
      <c r="F2" s="112"/>
      <c r="G2" s="112"/>
      <c r="H2" s="112"/>
      <c r="I2" s="112"/>
      <c r="J2" s="112"/>
      <c r="K2" s="112"/>
      <c r="L2" s="112"/>
      <c r="M2" s="112"/>
      <c r="N2" s="112"/>
    </row>
    <row r="3" spans="1:14" ht="25.5" customHeight="1" x14ac:dyDescent="0.25">
      <c r="A3" s="7" t="s">
        <v>2</v>
      </c>
      <c r="B3" s="7" t="s">
        <v>3</v>
      </c>
      <c r="C3" s="7" t="s">
        <v>544</v>
      </c>
      <c r="D3" s="7" t="s">
        <v>545</v>
      </c>
      <c r="E3" s="7" t="s">
        <v>7</v>
      </c>
      <c r="F3" s="7" t="s">
        <v>526</v>
      </c>
      <c r="G3" s="7" t="s">
        <v>9</v>
      </c>
      <c r="H3" s="7" t="s">
        <v>546</v>
      </c>
      <c r="I3" s="7" t="s">
        <v>547</v>
      </c>
      <c r="J3" s="7" t="s">
        <v>548</v>
      </c>
      <c r="K3" s="7" t="s">
        <v>549</v>
      </c>
      <c r="L3" s="7" t="s">
        <v>550</v>
      </c>
    </row>
    <row r="4" spans="1:14" x14ac:dyDescent="0.25">
      <c r="A4" s="123" t="s">
        <v>594</v>
      </c>
      <c r="B4" s="112"/>
      <c r="C4" s="112"/>
      <c r="D4" s="112"/>
      <c r="E4" s="112"/>
      <c r="F4" s="112"/>
      <c r="G4" s="112"/>
      <c r="H4" s="112"/>
      <c r="I4" s="112"/>
      <c r="J4" s="112"/>
      <c r="K4" s="112"/>
      <c r="L4" s="112"/>
    </row>
    <row r="5" spans="1:14" ht="38.25" customHeight="1" x14ac:dyDescent="0.25">
      <c r="A5" s="8" t="s">
        <v>32</v>
      </c>
      <c r="B5" s="9" t="s">
        <v>17</v>
      </c>
      <c r="C5" s="11" t="s">
        <v>34</v>
      </c>
      <c r="D5" s="10" t="s">
        <v>35</v>
      </c>
      <c r="E5" s="11" t="s">
        <v>36</v>
      </c>
      <c r="F5" s="12">
        <v>0.5</v>
      </c>
      <c r="G5" s="13">
        <v>250</v>
      </c>
      <c r="H5" s="13">
        <v>500</v>
      </c>
      <c r="I5" s="10" t="s">
        <v>557</v>
      </c>
      <c r="J5" s="10" t="s">
        <v>556</v>
      </c>
      <c r="K5" s="10"/>
      <c r="L5" s="10"/>
    </row>
    <row r="6" spans="1:14" ht="51" customHeight="1" x14ac:dyDescent="0.25">
      <c r="A6" s="8" t="s">
        <v>286</v>
      </c>
      <c r="B6" s="9" t="s">
        <v>17</v>
      </c>
      <c r="C6" s="11" t="s">
        <v>289</v>
      </c>
      <c r="D6" s="10" t="s">
        <v>290</v>
      </c>
      <c r="E6" s="11" t="s">
        <v>291</v>
      </c>
      <c r="F6" s="12">
        <v>0.08</v>
      </c>
      <c r="G6" s="15">
        <v>40</v>
      </c>
      <c r="H6" s="16">
        <v>80</v>
      </c>
      <c r="I6" s="10" t="s">
        <v>579</v>
      </c>
      <c r="J6" s="10" t="s">
        <v>556</v>
      </c>
      <c r="K6" s="10"/>
      <c r="L6" s="10"/>
    </row>
    <row r="7" spans="1:14" ht="38.25" customHeight="1" x14ac:dyDescent="0.25">
      <c r="A7" s="8" t="s">
        <v>44</v>
      </c>
      <c r="B7" s="9" t="s">
        <v>17</v>
      </c>
      <c r="C7" s="11" t="s">
        <v>46</v>
      </c>
      <c r="D7" s="10" t="s">
        <v>560</v>
      </c>
      <c r="E7" s="11" t="s">
        <v>47</v>
      </c>
      <c r="F7" s="12">
        <v>0.19395999999999999</v>
      </c>
      <c r="G7" s="16">
        <v>96.98</v>
      </c>
      <c r="H7" s="13">
        <v>193.96</v>
      </c>
      <c r="I7" s="10" t="s">
        <v>561</v>
      </c>
      <c r="J7" s="10" t="s">
        <v>556</v>
      </c>
      <c r="K7" s="10"/>
      <c r="L7" s="10"/>
    </row>
    <row r="8" spans="1:14" ht="38.25" customHeight="1" x14ac:dyDescent="0.25">
      <c r="A8" s="8" t="s">
        <v>49</v>
      </c>
      <c r="B8" s="9" t="s">
        <v>17</v>
      </c>
      <c r="C8" s="11" t="s">
        <v>50</v>
      </c>
      <c r="D8" s="10" t="s">
        <v>56</v>
      </c>
      <c r="E8" s="11" t="s">
        <v>52</v>
      </c>
      <c r="F8" s="12">
        <v>0.21329000000000001</v>
      </c>
      <c r="G8" s="13">
        <v>106.645</v>
      </c>
      <c r="H8" s="13">
        <v>213.29</v>
      </c>
      <c r="I8" s="10" t="s">
        <v>562</v>
      </c>
      <c r="J8" s="10" t="s">
        <v>556</v>
      </c>
      <c r="K8" s="10"/>
      <c r="L8" s="10"/>
    </row>
    <row r="9" spans="1:14" ht="38.25" customHeight="1" x14ac:dyDescent="0.25">
      <c r="A9" s="8" t="s">
        <v>54</v>
      </c>
      <c r="B9" s="9" t="s">
        <v>17</v>
      </c>
      <c r="C9" s="11" t="s">
        <v>55</v>
      </c>
      <c r="D9" s="10" t="s">
        <v>563</v>
      </c>
      <c r="E9" s="11" t="s">
        <v>57</v>
      </c>
      <c r="F9" s="12">
        <v>0.04</v>
      </c>
      <c r="G9" s="15">
        <v>20</v>
      </c>
      <c r="H9" s="15">
        <v>40</v>
      </c>
      <c r="I9" s="10" t="s">
        <v>564</v>
      </c>
      <c r="J9" s="10" t="s">
        <v>556</v>
      </c>
      <c r="K9" s="10"/>
      <c r="L9" s="10"/>
    </row>
    <row r="10" spans="1:14" ht="38.25" customHeight="1" x14ac:dyDescent="0.25">
      <c r="A10" s="8" t="s">
        <v>64</v>
      </c>
      <c r="B10" s="9" t="s">
        <v>17</v>
      </c>
      <c r="C10" s="11" t="s">
        <v>65</v>
      </c>
      <c r="D10" s="10" t="s">
        <v>565</v>
      </c>
      <c r="E10" s="11" t="s">
        <v>66</v>
      </c>
      <c r="F10" s="12">
        <v>0.26</v>
      </c>
      <c r="G10" s="13">
        <v>130</v>
      </c>
      <c r="H10" s="13">
        <v>260</v>
      </c>
      <c r="I10" s="10" t="s">
        <v>566</v>
      </c>
      <c r="J10" s="10" t="s">
        <v>556</v>
      </c>
      <c r="K10" s="10"/>
      <c r="L10" s="10"/>
    </row>
    <row r="11" spans="1:14" ht="51" customHeight="1" x14ac:dyDescent="0.25">
      <c r="A11" s="8" t="s">
        <v>68</v>
      </c>
      <c r="B11" s="9" t="s">
        <v>17</v>
      </c>
      <c r="C11" s="11" t="s">
        <v>69</v>
      </c>
      <c r="D11" s="10" t="s">
        <v>567</v>
      </c>
      <c r="E11" s="11" t="s">
        <v>71</v>
      </c>
      <c r="F11" s="12">
        <v>0.3</v>
      </c>
      <c r="G11" s="13">
        <v>150</v>
      </c>
      <c r="H11" s="13">
        <v>300</v>
      </c>
      <c r="I11" s="10" t="s">
        <v>568</v>
      </c>
      <c r="J11" s="10" t="s">
        <v>556</v>
      </c>
      <c r="K11" s="10"/>
      <c r="L11" s="10"/>
    </row>
    <row r="12" spans="1:14" ht="51" customHeight="1" x14ac:dyDescent="0.25">
      <c r="A12" s="8" t="s">
        <v>85</v>
      </c>
      <c r="B12" s="9" t="s">
        <v>17</v>
      </c>
      <c r="C12" s="11" t="s">
        <v>86</v>
      </c>
      <c r="D12" s="10" t="s">
        <v>569</v>
      </c>
      <c r="E12" s="11" t="s">
        <v>540</v>
      </c>
      <c r="F12" s="12">
        <v>0.40350000000000003</v>
      </c>
      <c r="G12" s="13">
        <v>201.75</v>
      </c>
      <c r="H12" s="13">
        <v>403.5</v>
      </c>
      <c r="I12" s="10" t="s">
        <v>570</v>
      </c>
      <c r="J12" s="10" t="s">
        <v>556</v>
      </c>
      <c r="K12" s="10"/>
      <c r="L12" s="10"/>
    </row>
    <row r="13" spans="1:14" ht="38.25" customHeight="1" x14ac:dyDescent="0.25">
      <c r="A13" s="8" t="s">
        <v>275</v>
      </c>
      <c r="B13" s="9" t="s">
        <v>17</v>
      </c>
      <c r="C13" s="11" t="s">
        <v>156</v>
      </c>
      <c r="D13" s="10" t="s">
        <v>277</v>
      </c>
      <c r="E13" s="11" t="s">
        <v>278</v>
      </c>
      <c r="F13" s="12">
        <v>0.11</v>
      </c>
      <c r="G13" s="16">
        <v>55</v>
      </c>
      <c r="H13" s="13">
        <v>110</v>
      </c>
      <c r="I13" s="10" t="s">
        <v>571</v>
      </c>
      <c r="J13" s="10" t="s">
        <v>556</v>
      </c>
      <c r="K13" s="10"/>
      <c r="L13" s="10"/>
    </row>
    <row r="14" spans="1:14" ht="45" customHeight="1" x14ac:dyDescent="0.25">
      <c r="A14" s="8" t="s">
        <v>100</v>
      </c>
      <c r="B14" s="9" t="s">
        <v>101</v>
      </c>
      <c r="C14" s="11"/>
      <c r="D14" s="10"/>
      <c r="E14" s="11" t="s">
        <v>43</v>
      </c>
      <c r="F14" s="11"/>
      <c r="G14" s="11"/>
      <c r="H14" s="11"/>
      <c r="I14" s="10" t="s">
        <v>573</v>
      </c>
      <c r="J14" s="10" t="s">
        <v>556</v>
      </c>
      <c r="K14" s="10"/>
      <c r="L14" s="10"/>
    </row>
    <row r="15" spans="1:14" x14ac:dyDescent="0.25">
      <c r="A15" s="121" t="s">
        <v>595</v>
      </c>
      <c r="B15" s="112"/>
      <c r="C15" s="112"/>
      <c r="D15" s="112"/>
      <c r="E15" s="112"/>
      <c r="F15" s="112"/>
      <c r="G15" s="112"/>
      <c r="H15" s="112"/>
      <c r="I15" s="112"/>
      <c r="J15" s="112"/>
      <c r="K15" s="112"/>
      <c r="L15" s="112"/>
    </row>
    <row r="16" spans="1:14" ht="38.25" customHeight="1" x14ac:dyDescent="0.25">
      <c r="A16" s="17" t="s">
        <v>108</v>
      </c>
      <c r="B16" s="18" t="s">
        <v>60</v>
      </c>
      <c r="C16" s="20" t="s">
        <v>110</v>
      </c>
      <c r="D16" s="19" t="s">
        <v>111</v>
      </c>
      <c r="E16" s="20" t="s">
        <v>112</v>
      </c>
      <c r="F16" s="21">
        <v>0.17348</v>
      </c>
      <c r="G16" s="54">
        <v>86.74</v>
      </c>
      <c r="H16" s="54">
        <v>173.48</v>
      </c>
      <c r="I16" s="19" t="s">
        <v>577</v>
      </c>
      <c r="J16" s="19" t="s">
        <v>576</v>
      </c>
      <c r="K16" s="19"/>
      <c r="L16" s="19"/>
    </row>
    <row r="17" spans="1:12" ht="38.25" customHeight="1" x14ac:dyDescent="0.25">
      <c r="A17" s="17" t="s">
        <v>59</v>
      </c>
      <c r="B17" s="18" t="s">
        <v>60</v>
      </c>
      <c r="C17" s="20" t="s">
        <v>61</v>
      </c>
      <c r="D17" s="19" t="s">
        <v>580</v>
      </c>
      <c r="E17" s="20" t="s">
        <v>62</v>
      </c>
      <c r="F17" s="21">
        <v>0.30569000000000002</v>
      </c>
      <c r="G17" s="54">
        <v>152.845</v>
      </c>
      <c r="H17" s="54">
        <v>305.69</v>
      </c>
      <c r="I17" s="19" t="s">
        <v>581</v>
      </c>
      <c r="J17" s="19" t="s">
        <v>576</v>
      </c>
      <c r="K17" s="19"/>
      <c r="L17" s="19"/>
    </row>
    <row r="18" spans="1:12" ht="38.25" customHeight="1" x14ac:dyDescent="0.25">
      <c r="A18" s="17" t="s">
        <v>113</v>
      </c>
      <c r="B18" s="18" t="s">
        <v>60</v>
      </c>
      <c r="C18" s="20" t="s">
        <v>114</v>
      </c>
      <c r="D18" s="19" t="s">
        <v>115</v>
      </c>
      <c r="E18" s="20" t="s">
        <v>116</v>
      </c>
      <c r="F18" s="21">
        <v>1.5939999999999999E-2</v>
      </c>
      <c r="G18" s="54">
        <v>7.97</v>
      </c>
      <c r="H18" s="54">
        <v>15.94</v>
      </c>
      <c r="I18" s="19" t="s">
        <v>564</v>
      </c>
      <c r="J18" s="19" t="s">
        <v>576</v>
      </c>
      <c r="K18" s="19"/>
      <c r="L18" s="19"/>
    </row>
    <row r="19" spans="1:12" ht="25.5" customHeight="1" x14ac:dyDescent="0.25">
      <c r="A19" s="17" t="s">
        <v>118</v>
      </c>
      <c r="B19" s="18" t="s">
        <v>60</v>
      </c>
      <c r="C19" s="20" t="s">
        <v>120</v>
      </c>
      <c r="D19" s="19" t="s">
        <v>584</v>
      </c>
      <c r="E19" s="20" t="s">
        <v>43</v>
      </c>
      <c r="F19" s="20"/>
      <c r="G19" s="20"/>
      <c r="H19" s="20"/>
      <c r="I19" s="19" t="s">
        <v>573</v>
      </c>
      <c r="J19" s="19" t="s">
        <v>576</v>
      </c>
      <c r="K19" s="19"/>
      <c r="L19" s="19"/>
    </row>
    <row r="20" spans="1:12" ht="38.25" customHeight="1" x14ac:dyDescent="0.25">
      <c r="A20" s="17" t="s">
        <v>123</v>
      </c>
      <c r="B20" s="18" t="s">
        <v>60</v>
      </c>
      <c r="C20" s="20" t="s">
        <v>19</v>
      </c>
      <c r="D20" s="19" t="s">
        <v>125</v>
      </c>
      <c r="E20" s="20" t="s">
        <v>126</v>
      </c>
      <c r="F20" s="21">
        <v>0.15659999999999999</v>
      </c>
      <c r="G20" s="54">
        <v>78.3</v>
      </c>
      <c r="H20" s="54">
        <v>156.6</v>
      </c>
      <c r="I20" s="19" t="s">
        <v>585</v>
      </c>
      <c r="J20" s="19" t="s">
        <v>576</v>
      </c>
      <c r="K20" s="19"/>
      <c r="L20" s="19"/>
    </row>
    <row r="21" spans="1:12" ht="38.25" customHeight="1" x14ac:dyDescent="0.25">
      <c r="A21" s="17" t="s">
        <v>128</v>
      </c>
      <c r="B21" s="18" t="s">
        <v>60</v>
      </c>
      <c r="C21" s="20" t="s">
        <v>129</v>
      </c>
      <c r="D21" s="19" t="s">
        <v>130</v>
      </c>
      <c r="E21" s="20" t="s">
        <v>131</v>
      </c>
      <c r="F21" s="21">
        <v>0.32323000000000002</v>
      </c>
      <c r="G21" s="54">
        <v>161.61500000000001</v>
      </c>
      <c r="H21" s="54">
        <v>323.23</v>
      </c>
      <c r="I21" s="19" t="s">
        <v>586</v>
      </c>
      <c r="J21" s="19" t="s">
        <v>576</v>
      </c>
      <c r="K21" s="19"/>
      <c r="L21" s="19"/>
    </row>
    <row r="22" spans="1:12" ht="38.25" customHeight="1" x14ac:dyDescent="0.25">
      <c r="A22" s="17" t="s">
        <v>154</v>
      </c>
      <c r="B22" s="18" t="s">
        <v>60</v>
      </c>
      <c r="C22" s="20" t="s">
        <v>156</v>
      </c>
      <c r="D22" s="19" t="s">
        <v>157</v>
      </c>
      <c r="E22" s="20" t="s">
        <v>158</v>
      </c>
      <c r="F22" s="21">
        <v>0.39251999999999998</v>
      </c>
      <c r="G22" s="54">
        <v>196.26</v>
      </c>
      <c r="H22" s="54">
        <v>392.52</v>
      </c>
      <c r="I22" s="19" t="s">
        <v>587</v>
      </c>
      <c r="J22" s="19" t="s">
        <v>576</v>
      </c>
      <c r="K22" s="19"/>
      <c r="L22" s="19"/>
    </row>
    <row r="23" spans="1:12" ht="38.25" customHeight="1" x14ac:dyDescent="0.25">
      <c r="A23" s="17" t="s">
        <v>165</v>
      </c>
      <c r="B23" s="18" t="s">
        <v>60</v>
      </c>
      <c r="C23" s="20" t="s">
        <v>166</v>
      </c>
      <c r="D23" s="19" t="s">
        <v>167</v>
      </c>
      <c r="E23" s="20" t="s">
        <v>168</v>
      </c>
      <c r="F23" s="21">
        <v>0.22977</v>
      </c>
      <c r="G23" s="54">
        <v>114.88500000000001</v>
      </c>
      <c r="H23" s="54">
        <v>229.77</v>
      </c>
      <c r="I23" s="19" t="s">
        <v>588</v>
      </c>
      <c r="J23" s="19" t="s">
        <v>576</v>
      </c>
      <c r="K23" s="19"/>
      <c r="L23" s="19"/>
    </row>
    <row r="24" spans="1:12" ht="51" customHeight="1" x14ac:dyDescent="0.25">
      <c r="A24" s="17" t="s">
        <v>172</v>
      </c>
      <c r="B24" s="18" t="s">
        <v>60</v>
      </c>
      <c r="C24" s="20" t="s">
        <v>173</v>
      </c>
      <c r="D24" s="19" t="s">
        <v>174</v>
      </c>
      <c r="E24" s="20" t="s">
        <v>175</v>
      </c>
      <c r="F24" s="21">
        <v>0.05</v>
      </c>
      <c r="G24" s="54">
        <v>25</v>
      </c>
      <c r="H24" s="54">
        <v>50</v>
      </c>
      <c r="I24" s="19" t="s">
        <v>579</v>
      </c>
      <c r="J24" s="19" t="s">
        <v>576</v>
      </c>
      <c r="K24" s="19"/>
      <c r="L24" s="19"/>
    </row>
    <row r="25" spans="1:12" ht="38.25" customHeight="1" x14ac:dyDescent="0.25">
      <c r="A25" s="17" t="s">
        <v>181</v>
      </c>
      <c r="B25" s="18" t="s">
        <v>60</v>
      </c>
      <c r="C25" s="20" t="s">
        <v>183</v>
      </c>
      <c r="D25" s="19" t="s">
        <v>184</v>
      </c>
      <c r="E25" s="20" t="s">
        <v>185</v>
      </c>
      <c r="F25" s="21">
        <v>1.044E-2</v>
      </c>
      <c r="G25" s="54">
        <v>5.22</v>
      </c>
      <c r="H25" s="54">
        <v>10.44</v>
      </c>
      <c r="I25" s="19" t="s">
        <v>564</v>
      </c>
      <c r="J25" s="19" t="s">
        <v>576</v>
      </c>
      <c r="K25" s="19"/>
      <c r="L25" s="19"/>
    </row>
    <row r="26" spans="1:12" ht="38.25" customHeight="1" x14ac:dyDescent="0.25">
      <c r="A26" s="17" t="s">
        <v>186</v>
      </c>
      <c r="B26" s="18" t="s">
        <v>60</v>
      </c>
      <c r="C26" s="20" t="s">
        <v>188</v>
      </c>
      <c r="D26" s="19" t="s">
        <v>189</v>
      </c>
      <c r="E26" s="20" t="s">
        <v>190</v>
      </c>
      <c r="F26" s="21">
        <v>0.04</v>
      </c>
      <c r="G26" s="54">
        <v>20</v>
      </c>
      <c r="H26" s="54">
        <v>40</v>
      </c>
      <c r="I26" s="19" t="s">
        <v>564</v>
      </c>
      <c r="J26" s="19" t="s">
        <v>576</v>
      </c>
      <c r="K26" s="19"/>
      <c r="L26" s="19"/>
    </row>
    <row r="27" spans="1:12" ht="38.25" customHeight="1" x14ac:dyDescent="0.25">
      <c r="A27" s="17" t="s">
        <v>211</v>
      </c>
      <c r="B27" s="18" t="s">
        <v>60</v>
      </c>
      <c r="C27" s="20" t="s">
        <v>212</v>
      </c>
      <c r="D27" s="19" t="s">
        <v>213</v>
      </c>
      <c r="E27" s="20" t="s">
        <v>214</v>
      </c>
      <c r="F27" s="21">
        <v>0.23807</v>
      </c>
      <c r="G27" s="54">
        <v>119.035</v>
      </c>
      <c r="H27" s="54">
        <v>238.07</v>
      </c>
      <c r="I27" s="19" t="s">
        <v>589</v>
      </c>
      <c r="J27" s="19" t="s">
        <v>576</v>
      </c>
      <c r="K27" s="19"/>
      <c r="L27" s="19"/>
    </row>
    <row r="28" spans="1:12" ht="25.5" customHeight="1" x14ac:dyDescent="0.25">
      <c r="A28" s="17" t="s">
        <v>234</v>
      </c>
      <c r="B28" s="18" t="s">
        <v>60</v>
      </c>
      <c r="C28" s="20" t="s">
        <v>104</v>
      </c>
      <c r="D28" s="19" t="s">
        <v>235</v>
      </c>
      <c r="E28" s="20" t="s">
        <v>43</v>
      </c>
      <c r="F28" s="20"/>
      <c r="G28" s="20"/>
      <c r="H28" s="20"/>
      <c r="I28" s="19" t="s">
        <v>573</v>
      </c>
      <c r="J28" s="19" t="s">
        <v>576</v>
      </c>
      <c r="K28" s="19"/>
      <c r="L28" s="19"/>
    </row>
    <row r="29" spans="1:12" ht="51" customHeight="1" x14ac:dyDescent="0.25">
      <c r="A29" s="17" t="s">
        <v>236</v>
      </c>
      <c r="B29" s="18" t="s">
        <v>60</v>
      </c>
      <c r="C29" s="20" t="s">
        <v>237</v>
      </c>
      <c r="D29" s="19" t="s">
        <v>590</v>
      </c>
      <c r="E29" s="20" t="s">
        <v>239</v>
      </c>
      <c r="F29" s="21">
        <v>0.05</v>
      </c>
      <c r="G29" s="54">
        <v>25</v>
      </c>
      <c r="H29" s="54">
        <v>50</v>
      </c>
      <c r="I29" s="19" t="s">
        <v>579</v>
      </c>
      <c r="J29" s="19" t="s">
        <v>576</v>
      </c>
      <c r="K29" s="19"/>
      <c r="L29" s="19"/>
    </row>
    <row r="30" spans="1:12" ht="38.25" customHeight="1" x14ac:dyDescent="0.25">
      <c r="A30" s="17" t="s">
        <v>244</v>
      </c>
      <c r="B30" s="18" t="s">
        <v>60</v>
      </c>
      <c r="C30" s="20" t="s">
        <v>246</v>
      </c>
      <c r="D30" s="19" t="s">
        <v>247</v>
      </c>
      <c r="E30" s="20" t="s">
        <v>21</v>
      </c>
      <c r="F30" s="21">
        <v>0.31739000000000001</v>
      </c>
      <c r="G30" s="54">
        <v>158.69499999999999</v>
      </c>
      <c r="H30" s="54">
        <v>317.39</v>
      </c>
      <c r="I30" s="19" t="s">
        <v>591</v>
      </c>
      <c r="J30" s="19" t="s">
        <v>576</v>
      </c>
      <c r="K30" s="19"/>
      <c r="L30" s="19"/>
    </row>
    <row r="31" spans="1:12" ht="25.5" customHeight="1" x14ac:dyDescent="0.25">
      <c r="A31" s="17" t="s">
        <v>248</v>
      </c>
      <c r="B31" s="18" t="s">
        <v>60</v>
      </c>
      <c r="C31" s="20" t="s">
        <v>250</v>
      </c>
      <c r="D31" s="19" t="s">
        <v>251</v>
      </c>
      <c r="E31" s="20" t="s">
        <v>43</v>
      </c>
      <c r="F31" s="20"/>
      <c r="G31" s="20"/>
      <c r="H31" s="20"/>
      <c r="I31" s="19" t="s">
        <v>573</v>
      </c>
      <c r="J31" s="19" t="s">
        <v>576</v>
      </c>
      <c r="K31" s="19"/>
      <c r="L31" s="19"/>
    </row>
    <row r="32" spans="1:12" ht="51" customHeight="1" x14ac:dyDescent="0.25">
      <c r="A32" s="17" t="s">
        <v>263</v>
      </c>
      <c r="B32" s="18" t="s">
        <v>60</v>
      </c>
      <c r="C32" s="20" t="s">
        <v>264</v>
      </c>
      <c r="D32" s="19" t="s">
        <v>265</v>
      </c>
      <c r="E32" s="20" t="s">
        <v>266</v>
      </c>
      <c r="F32" s="21">
        <v>5.2269999999999997E-2</v>
      </c>
      <c r="G32" s="54">
        <v>26.135000000000002</v>
      </c>
      <c r="H32" s="54">
        <v>52.27</v>
      </c>
      <c r="I32" s="19" t="s">
        <v>579</v>
      </c>
      <c r="J32" s="19" t="s">
        <v>576</v>
      </c>
      <c r="K32" s="19"/>
      <c r="L32" s="19"/>
    </row>
  </sheetData>
  <mergeCells count="4">
    <mergeCell ref="A15:L15"/>
    <mergeCell ref="A2:N2"/>
    <mergeCell ref="A4:L4"/>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565C0"/>
  </sheetPr>
  <dimension ref="A1:N39"/>
  <sheetViews>
    <sheetView zoomScaleNormal="100" workbookViewId="0">
      <pane xSplit="1" ySplit="3" topLeftCell="B4" activePane="bottomRight" state="frozen"/>
      <selection pane="topRight" activeCell="B1" sqref="B1"/>
      <selection pane="bottomLeft" activeCell="A4" sqref="A4"/>
      <selection pane="bottomRight" sqref="A1:N1"/>
    </sheetView>
  </sheetViews>
  <sheetFormatPr defaultColWidth="8.7109375" defaultRowHeight="15" x14ac:dyDescent="0.25"/>
  <cols>
    <col min="1" max="1" width="28" customWidth="1"/>
    <col min="2" max="2" width="10" customWidth="1"/>
    <col min="3" max="3" width="13" customWidth="1"/>
    <col min="4" max="4" width="40" customWidth="1"/>
    <col min="5" max="5" width="13" customWidth="1"/>
    <col min="6" max="6" width="9" customWidth="1"/>
    <col min="7" max="8" width="11" customWidth="1"/>
    <col min="9" max="9" width="28" customWidth="1"/>
    <col min="10" max="10" width="20" customWidth="1"/>
    <col min="11" max="11" width="22" customWidth="1"/>
    <col min="12" max="12" width="32" customWidth="1"/>
  </cols>
  <sheetData>
    <row r="1" spans="1:14" ht="30" customHeight="1" x14ac:dyDescent="0.25">
      <c r="A1" s="114" t="s">
        <v>596</v>
      </c>
      <c r="B1" s="112"/>
      <c r="C1" s="112"/>
      <c r="D1" s="112"/>
      <c r="E1" s="112"/>
      <c r="F1" s="112"/>
      <c r="G1" s="112"/>
      <c r="H1" s="112"/>
      <c r="I1" s="112"/>
      <c r="J1" s="112"/>
      <c r="K1" s="112"/>
      <c r="L1" s="112"/>
      <c r="M1" s="112"/>
      <c r="N1" s="112"/>
    </row>
    <row r="2" spans="1:14" ht="24" customHeight="1" x14ac:dyDescent="0.25">
      <c r="A2" s="125" t="s">
        <v>597</v>
      </c>
      <c r="B2" s="112"/>
      <c r="C2" s="112"/>
      <c r="D2" s="112"/>
      <c r="E2" s="112"/>
      <c r="F2" s="112"/>
      <c r="G2" s="112"/>
      <c r="H2" s="112"/>
      <c r="I2" s="112"/>
      <c r="J2" s="112"/>
      <c r="K2" s="112"/>
      <c r="L2" s="112"/>
      <c r="M2" s="112"/>
      <c r="N2" s="112"/>
    </row>
    <row r="3" spans="1:14" ht="36" customHeight="1" x14ac:dyDescent="0.25">
      <c r="A3" s="7" t="s">
        <v>2</v>
      </c>
      <c r="B3" s="7" t="s">
        <v>3</v>
      </c>
      <c r="C3" s="7" t="s">
        <v>544</v>
      </c>
      <c r="D3" s="7" t="s">
        <v>545</v>
      </c>
      <c r="E3" s="7" t="s">
        <v>7</v>
      </c>
      <c r="F3" s="7" t="s">
        <v>526</v>
      </c>
      <c r="G3" s="7" t="s">
        <v>9</v>
      </c>
      <c r="H3" s="7" t="s">
        <v>546</v>
      </c>
      <c r="I3" s="7" t="s">
        <v>547</v>
      </c>
      <c r="J3" s="7" t="s">
        <v>548</v>
      </c>
      <c r="K3" s="7" t="s">
        <v>549</v>
      </c>
      <c r="L3" s="7" t="s">
        <v>550</v>
      </c>
    </row>
    <row r="4" spans="1:14" ht="21.75" customHeight="1" x14ac:dyDescent="0.25">
      <c r="A4" s="123" t="s">
        <v>598</v>
      </c>
      <c r="B4" s="112"/>
      <c r="C4" s="112"/>
      <c r="D4" s="112"/>
      <c r="E4" s="112"/>
      <c r="F4" s="112"/>
      <c r="G4" s="112"/>
      <c r="H4" s="112"/>
      <c r="I4" s="112"/>
      <c r="J4" s="112"/>
      <c r="K4" s="112"/>
      <c r="L4" s="112"/>
    </row>
    <row r="5" spans="1:14" ht="51.75" customHeight="1" x14ac:dyDescent="0.25">
      <c r="A5" s="8" t="s">
        <v>16</v>
      </c>
      <c r="B5" s="9" t="s">
        <v>17</v>
      </c>
      <c r="C5" s="11" t="s">
        <v>19</v>
      </c>
      <c r="D5" s="10" t="s">
        <v>552</v>
      </c>
      <c r="E5" s="11" t="s">
        <v>21</v>
      </c>
      <c r="F5" s="12">
        <v>0.31664999999999999</v>
      </c>
      <c r="G5" s="13">
        <v>158.32499999999999</v>
      </c>
      <c r="H5" s="13">
        <v>316.64999999999998</v>
      </c>
      <c r="I5" s="10" t="s">
        <v>553</v>
      </c>
      <c r="J5" s="10" t="s">
        <v>554</v>
      </c>
      <c r="K5" s="10"/>
      <c r="L5" s="10" t="s">
        <v>23</v>
      </c>
    </row>
    <row r="6" spans="1:14" ht="51.75" customHeight="1" x14ac:dyDescent="0.25">
      <c r="A6" s="8" t="s">
        <v>32</v>
      </c>
      <c r="B6" s="9" t="s">
        <v>17</v>
      </c>
      <c r="C6" s="11" t="s">
        <v>34</v>
      </c>
      <c r="D6" s="10" t="s">
        <v>35</v>
      </c>
      <c r="E6" s="11" t="s">
        <v>36</v>
      </c>
      <c r="F6" s="12">
        <v>0.5</v>
      </c>
      <c r="G6" s="13">
        <v>250</v>
      </c>
      <c r="H6" s="13">
        <v>500</v>
      </c>
      <c r="I6" s="10" t="s">
        <v>557</v>
      </c>
      <c r="J6" s="10" t="s">
        <v>556</v>
      </c>
      <c r="K6" s="10"/>
      <c r="L6" s="10"/>
    </row>
    <row r="7" spans="1:14" ht="51.75" customHeight="1" x14ac:dyDescent="0.25">
      <c r="A7" s="8" t="s">
        <v>286</v>
      </c>
      <c r="B7" s="9" t="s">
        <v>17</v>
      </c>
      <c r="C7" s="11" t="s">
        <v>289</v>
      </c>
      <c r="D7" s="10" t="s">
        <v>290</v>
      </c>
      <c r="E7" s="11" t="s">
        <v>291</v>
      </c>
      <c r="F7" s="12">
        <v>0.08</v>
      </c>
      <c r="G7" s="15">
        <v>40</v>
      </c>
      <c r="H7" s="16">
        <v>80</v>
      </c>
      <c r="I7" s="10" t="s">
        <v>579</v>
      </c>
      <c r="J7" s="10" t="s">
        <v>556</v>
      </c>
      <c r="K7" s="10"/>
      <c r="L7" s="10"/>
    </row>
    <row r="8" spans="1:14" ht="51.75" customHeight="1" x14ac:dyDescent="0.25">
      <c r="A8" s="8" t="s">
        <v>280</v>
      </c>
      <c r="B8" s="9" t="s">
        <v>17</v>
      </c>
      <c r="C8" s="11" t="s">
        <v>110</v>
      </c>
      <c r="D8" s="10" t="s">
        <v>282</v>
      </c>
      <c r="E8" s="11" t="s">
        <v>283</v>
      </c>
      <c r="F8" s="12">
        <v>0.28025</v>
      </c>
      <c r="G8" s="13">
        <v>140.125</v>
      </c>
      <c r="H8" s="13">
        <v>280.25</v>
      </c>
      <c r="I8" s="10" t="s">
        <v>599</v>
      </c>
      <c r="J8" s="10" t="s">
        <v>556</v>
      </c>
      <c r="K8" s="10"/>
      <c r="L8" s="10"/>
    </row>
    <row r="9" spans="1:14" ht="51.75" customHeight="1" x14ac:dyDescent="0.25">
      <c r="A9" s="8" t="s">
        <v>44</v>
      </c>
      <c r="B9" s="9" t="s">
        <v>17</v>
      </c>
      <c r="C9" s="11" t="s">
        <v>46</v>
      </c>
      <c r="D9" s="10" t="s">
        <v>560</v>
      </c>
      <c r="E9" s="11" t="s">
        <v>47</v>
      </c>
      <c r="F9" s="12">
        <v>0.19395999999999999</v>
      </c>
      <c r="G9" s="16">
        <v>96.98</v>
      </c>
      <c r="H9" s="13">
        <v>193.96</v>
      </c>
      <c r="I9" s="10" t="s">
        <v>561</v>
      </c>
      <c r="J9" s="10" t="s">
        <v>556</v>
      </c>
      <c r="K9" s="10"/>
      <c r="L9" s="10"/>
    </row>
    <row r="10" spans="1:14" ht="51.75" customHeight="1" x14ac:dyDescent="0.25">
      <c r="A10" s="8" t="s">
        <v>49</v>
      </c>
      <c r="B10" s="9" t="s">
        <v>17</v>
      </c>
      <c r="C10" s="11" t="s">
        <v>50</v>
      </c>
      <c r="D10" s="10" t="s">
        <v>56</v>
      </c>
      <c r="E10" s="11" t="s">
        <v>52</v>
      </c>
      <c r="F10" s="12">
        <v>0.21329000000000001</v>
      </c>
      <c r="G10" s="13">
        <v>106.645</v>
      </c>
      <c r="H10" s="13">
        <v>213.29</v>
      </c>
      <c r="I10" s="10" t="s">
        <v>562</v>
      </c>
      <c r="J10" s="10" t="s">
        <v>556</v>
      </c>
      <c r="K10" s="10"/>
      <c r="L10" s="10"/>
    </row>
    <row r="11" spans="1:14" ht="51.75" customHeight="1" x14ac:dyDescent="0.25">
      <c r="A11" s="8" t="s">
        <v>54</v>
      </c>
      <c r="B11" s="9" t="s">
        <v>17</v>
      </c>
      <c r="C11" s="11" t="s">
        <v>55</v>
      </c>
      <c r="D11" s="10" t="s">
        <v>563</v>
      </c>
      <c r="E11" s="11" t="s">
        <v>57</v>
      </c>
      <c r="F11" s="12">
        <v>0.04</v>
      </c>
      <c r="G11" s="15">
        <v>20</v>
      </c>
      <c r="H11" s="15">
        <v>40</v>
      </c>
      <c r="I11" s="10" t="s">
        <v>564</v>
      </c>
      <c r="J11" s="10" t="s">
        <v>556</v>
      </c>
      <c r="K11" s="10"/>
      <c r="L11" s="10"/>
    </row>
    <row r="12" spans="1:14" ht="51.75" customHeight="1" x14ac:dyDescent="0.25">
      <c r="A12" s="8" t="s">
        <v>64</v>
      </c>
      <c r="B12" s="9" t="s">
        <v>17</v>
      </c>
      <c r="C12" s="11" t="s">
        <v>65</v>
      </c>
      <c r="D12" s="10" t="s">
        <v>565</v>
      </c>
      <c r="E12" s="11" t="s">
        <v>66</v>
      </c>
      <c r="F12" s="12">
        <v>0.26</v>
      </c>
      <c r="G12" s="13">
        <v>130</v>
      </c>
      <c r="H12" s="13">
        <v>260</v>
      </c>
      <c r="I12" s="10" t="s">
        <v>566</v>
      </c>
      <c r="J12" s="10" t="s">
        <v>556</v>
      </c>
      <c r="K12" s="10"/>
      <c r="L12" s="10"/>
    </row>
    <row r="13" spans="1:14" ht="51.75" customHeight="1" x14ac:dyDescent="0.25">
      <c r="A13" s="8" t="s">
        <v>68</v>
      </c>
      <c r="B13" s="9" t="s">
        <v>17</v>
      </c>
      <c r="C13" s="11" t="s">
        <v>69</v>
      </c>
      <c r="D13" s="10" t="s">
        <v>567</v>
      </c>
      <c r="E13" s="11" t="s">
        <v>71</v>
      </c>
      <c r="F13" s="12">
        <v>0.3</v>
      </c>
      <c r="G13" s="13">
        <v>150</v>
      </c>
      <c r="H13" s="13">
        <v>300</v>
      </c>
      <c r="I13" s="10" t="s">
        <v>568</v>
      </c>
      <c r="J13" s="10" t="s">
        <v>556</v>
      </c>
      <c r="K13" s="10"/>
      <c r="L13" s="10"/>
    </row>
    <row r="14" spans="1:14" ht="51.75" customHeight="1" x14ac:dyDescent="0.25">
      <c r="A14" s="8" t="s">
        <v>269</v>
      </c>
      <c r="B14" s="9" t="s">
        <v>17</v>
      </c>
      <c r="C14" s="11" t="s">
        <v>271</v>
      </c>
      <c r="D14" s="10" t="s">
        <v>272</v>
      </c>
      <c r="E14" s="11" t="s">
        <v>273</v>
      </c>
      <c r="F14" s="12">
        <v>0.32385999999999998</v>
      </c>
      <c r="G14" s="13">
        <v>161.93</v>
      </c>
      <c r="H14" s="13">
        <v>323.86</v>
      </c>
      <c r="I14" s="10" t="s">
        <v>586</v>
      </c>
      <c r="J14" s="10" t="s">
        <v>556</v>
      </c>
      <c r="K14" s="10"/>
      <c r="L14" s="10"/>
    </row>
    <row r="15" spans="1:14" ht="51.75" customHeight="1" x14ac:dyDescent="0.25">
      <c r="A15" s="8" t="s">
        <v>85</v>
      </c>
      <c r="B15" s="9" t="s">
        <v>17</v>
      </c>
      <c r="C15" s="11" t="s">
        <v>86</v>
      </c>
      <c r="D15" s="10" t="s">
        <v>569</v>
      </c>
      <c r="E15" s="11" t="s">
        <v>540</v>
      </c>
      <c r="F15" s="12">
        <v>0.40350000000000003</v>
      </c>
      <c r="G15" s="13">
        <v>201.75</v>
      </c>
      <c r="H15" s="13">
        <v>403.5</v>
      </c>
      <c r="I15" s="10" t="s">
        <v>570</v>
      </c>
      <c r="J15" s="10" t="s">
        <v>556</v>
      </c>
      <c r="K15" s="10"/>
      <c r="L15" s="10"/>
    </row>
    <row r="16" spans="1:14" ht="51.75" customHeight="1" x14ac:dyDescent="0.25">
      <c r="A16" s="8" t="s">
        <v>275</v>
      </c>
      <c r="B16" s="9" t="s">
        <v>17</v>
      </c>
      <c r="C16" s="11" t="s">
        <v>156</v>
      </c>
      <c r="D16" s="10" t="s">
        <v>277</v>
      </c>
      <c r="E16" s="11" t="s">
        <v>278</v>
      </c>
      <c r="F16" s="12">
        <v>0.11</v>
      </c>
      <c r="G16" s="16">
        <v>55</v>
      </c>
      <c r="H16" s="13">
        <v>110</v>
      </c>
      <c r="I16" s="10" t="s">
        <v>571</v>
      </c>
      <c r="J16" s="10" t="s">
        <v>556</v>
      </c>
      <c r="K16" s="10"/>
      <c r="L16" s="10"/>
    </row>
    <row r="17" spans="1:12" ht="51.75" customHeight="1" x14ac:dyDescent="0.25">
      <c r="A17" s="8" t="s">
        <v>100</v>
      </c>
      <c r="B17" s="9" t="s">
        <v>101</v>
      </c>
      <c r="C17" s="11"/>
      <c r="D17" s="10"/>
      <c r="E17" s="11" t="s">
        <v>43</v>
      </c>
      <c r="F17" s="11"/>
      <c r="G17" s="11"/>
      <c r="H17" s="11"/>
      <c r="I17" s="10" t="s">
        <v>573</v>
      </c>
      <c r="J17" s="10" t="s">
        <v>556</v>
      </c>
      <c r="K17" s="10"/>
      <c r="L17" s="10"/>
    </row>
    <row r="18" spans="1:12" ht="21.75" customHeight="1" x14ac:dyDescent="0.25">
      <c r="A18" s="121" t="s">
        <v>600</v>
      </c>
      <c r="B18" s="112"/>
      <c r="C18" s="112"/>
      <c r="D18" s="112"/>
      <c r="E18" s="112"/>
      <c r="F18" s="112"/>
      <c r="G18" s="112"/>
      <c r="H18" s="112"/>
      <c r="I18" s="112"/>
      <c r="J18" s="112"/>
      <c r="K18" s="112"/>
      <c r="L18" s="112"/>
    </row>
    <row r="19" spans="1:12" ht="51.75" customHeight="1" x14ac:dyDescent="0.25">
      <c r="A19" s="17" t="s">
        <v>108</v>
      </c>
      <c r="B19" s="18" t="s">
        <v>60</v>
      </c>
      <c r="C19" s="20" t="s">
        <v>110</v>
      </c>
      <c r="D19" s="19" t="s">
        <v>111</v>
      </c>
      <c r="E19" s="20" t="s">
        <v>112</v>
      </c>
      <c r="F19" s="21">
        <v>0.17348</v>
      </c>
      <c r="G19" s="54">
        <v>86.74</v>
      </c>
      <c r="H19" s="54">
        <v>173.48</v>
      </c>
      <c r="I19" s="19" t="s">
        <v>577</v>
      </c>
      <c r="J19" s="19" t="s">
        <v>576</v>
      </c>
      <c r="K19" s="19"/>
      <c r="L19" s="19"/>
    </row>
    <row r="20" spans="1:12" ht="51.75" customHeight="1" x14ac:dyDescent="0.25">
      <c r="A20" s="17" t="s">
        <v>59</v>
      </c>
      <c r="B20" s="18" t="s">
        <v>60</v>
      </c>
      <c r="C20" s="20" t="s">
        <v>61</v>
      </c>
      <c r="D20" s="19" t="s">
        <v>580</v>
      </c>
      <c r="E20" s="20" t="s">
        <v>62</v>
      </c>
      <c r="F20" s="21">
        <v>0.30569000000000002</v>
      </c>
      <c r="G20" s="54">
        <v>152.845</v>
      </c>
      <c r="H20" s="54">
        <v>305.69</v>
      </c>
      <c r="I20" s="19" t="s">
        <v>581</v>
      </c>
      <c r="J20" s="19" t="s">
        <v>576</v>
      </c>
      <c r="K20" s="19"/>
      <c r="L20" s="19"/>
    </row>
    <row r="21" spans="1:12" ht="51.75" customHeight="1" x14ac:dyDescent="0.25">
      <c r="A21" s="17" t="s">
        <v>113</v>
      </c>
      <c r="B21" s="18" t="s">
        <v>60</v>
      </c>
      <c r="C21" s="20" t="s">
        <v>114</v>
      </c>
      <c r="D21" s="19" t="s">
        <v>115</v>
      </c>
      <c r="E21" s="20" t="s">
        <v>116</v>
      </c>
      <c r="F21" s="21">
        <v>1.5939999999999999E-2</v>
      </c>
      <c r="G21" s="54">
        <v>7.97</v>
      </c>
      <c r="H21" s="54">
        <v>15.94</v>
      </c>
      <c r="I21" s="19" t="s">
        <v>564</v>
      </c>
      <c r="J21" s="19" t="s">
        <v>576</v>
      </c>
      <c r="K21" s="19"/>
      <c r="L21" s="19"/>
    </row>
    <row r="22" spans="1:12" ht="51.75" customHeight="1" x14ac:dyDescent="0.25">
      <c r="A22" s="17" t="s">
        <v>118</v>
      </c>
      <c r="B22" s="18" t="s">
        <v>60</v>
      </c>
      <c r="C22" s="20" t="s">
        <v>120</v>
      </c>
      <c r="D22" s="19" t="s">
        <v>584</v>
      </c>
      <c r="E22" s="20" t="s">
        <v>43</v>
      </c>
      <c r="F22" s="20"/>
      <c r="G22" s="20"/>
      <c r="H22" s="20"/>
      <c r="I22" s="19" t="s">
        <v>573</v>
      </c>
      <c r="J22" s="19" t="s">
        <v>576</v>
      </c>
      <c r="K22" s="19"/>
      <c r="L22" s="19"/>
    </row>
    <row r="23" spans="1:12" ht="51.75" customHeight="1" x14ac:dyDescent="0.25">
      <c r="A23" s="17" t="s">
        <v>123</v>
      </c>
      <c r="B23" s="18" t="s">
        <v>60</v>
      </c>
      <c r="C23" s="20" t="s">
        <v>19</v>
      </c>
      <c r="D23" s="19" t="s">
        <v>125</v>
      </c>
      <c r="E23" s="20" t="s">
        <v>126</v>
      </c>
      <c r="F23" s="21">
        <v>0.15659999999999999</v>
      </c>
      <c r="G23" s="54">
        <v>78.3</v>
      </c>
      <c r="H23" s="54">
        <v>156.6</v>
      </c>
      <c r="I23" s="19" t="s">
        <v>585</v>
      </c>
      <c r="J23" s="19" t="s">
        <v>576</v>
      </c>
      <c r="K23" s="19"/>
      <c r="L23" s="19"/>
    </row>
    <row r="24" spans="1:12" ht="51.75" customHeight="1" x14ac:dyDescent="0.25">
      <c r="A24" s="17" t="s">
        <v>128</v>
      </c>
      <c r="B24" s="18" t="s">
        <v>60</v>
      </c>
      <c r="C24" s="20" t="s">
        <v>129</v>
      </c>
      <c r="D24" s="19" t="s">
        <v>130</v>
      </c>
      <c r="E24" s="20" t="s">
        <v>131</v>
      </c>
      <c r="F24" s="21">
        <v>0.32323000000000002</v>
      </c>
      <c r="G24" s="54">
        <v>161.61500000000001</v>
      </c>
      <c r="H24" s="54">
        <v>323.23</v>
      </c>
      <c r="I24" s="19" t="s">
        <v>586</v>
      </c>
      <c r="J24" s="19" t="s">
        <v>576</v>
      </c>
      <c r="K24" s="19"/>
      <c r="L24" s="19"/>
    </row>
    <row r="25" spans="1:12" ht="51.75" customHeight="1" x14ac:dyDescent="0.25">
      <c r="A25" s="17" t="s">
        <v>138</v>
      </c>
      <c r="B25" s="18" t="s">
        <v>60</v>
      </c>
      <c r="C25" s="20" t="s">
        <v>140</v>
      </c>
      <c r="D25" s="19" t="s">
        <v>141</v>
      </c>
      <c r="E25" s="20" t="s">
        <v>142</v>
      </c>
      <c r="F25" s="21">
        <v>0.251</v>
      </c>
      <c r="G25" s="54">
        <v>125.5</v>
      </c>
      <c r="H25" s="54">
        <v>251</v>
      </c>
      <c r="I25" s="19" t="s">
        <v>601</v>
      </c>
      <c r="J25" s="19" t="s">
        <v>576</v>
      </c>
      <c r="K25" s="19"/>
      <c r="L25" s="19"/>
    </row>
    <row r="26" spans="1:12" ht="51.75" customHeight="1" x14ac:dyDescent="0.25">
      <c r="A26" s="17" t="s">
        <v>148</v>
      </c>
      <c r="B26" s="18" t="s">
        <v>60</v>
      </c>
      <c r="C26" s="20" t="s">
        <v>150</v>
      </c>
      <c r="D26" s="19" t="s">
        <v>151</v>
      </c>
      <c r="E26" s="20" t="s">
        <v>152</v>
      </c>
      <c r="F26" s="21">
        <v>5.2999999999999999E-2</v>
      </c>
      <c r="G26" s="54">
        <v>26.5</v>
      </c>
      <c r="H26" s="54">
        <v>53</v>
      </c>
      <c r="I26" s="19" t="s">
        <v>579</v>
      </c>
      <c r="J26" s="19" t="s">
        <v>576</v>
      </c>
      <c r="K26" s="19"/>
      <c r="L26" s="19"/>
    </row>
    <row r="27" spans="1:12" ht="51.75" customHeight="1" x14ac:dyDescent="0.25">
      <c r="A27" s="17" t="s">
        <v>154</v>
      </c>
      <c r="B27" s="18" t="s">
        <v>60</v>
      </c>
      <c r="C27" s="20" t="s">
        <v>156</v>
      </c>
      <c r="D27" s="19" t="s">
        <v>157</v>
      </c>
      <c r="E27" s="20" t="s">
        <v>158</v>
      </c>
      <c r="F27" s="21">
        <v>0.39251999999999998</v>
      </c>
      <c r="G27" s="54">
        <v>196.26</v>
      </c>
      <c r="H27" s="54">
        <v>392.52</v>
      </c>
      <c r="I27" s="19" t="s">
        <v>587</v>
      </c>
      <c r="J27" s="19" t="s">
        <v>576</v>
      </c>
      <c r="K27" s="19"/>
      <c r="L27" s="19"/>
    </row>
    <row r="28" spans="1:12" ht="51.75" customHeight="1" x14ac:dyDescent="0.25">
      <c r="A28" s="17" t="s">
        <v>159</v>
      </c>
      <c r="B28" s="18" t="s">
        <v>60</v>
      </c>
      <c r="C28" s="20" t="s">
        <v>161</v>
      </c>
      <c r="D28" s="19" t="s">
        <v>162</v>
      </c>
      <c r="E28" s="20" t="s">
        <v>163</v>
      </c>
      <c r="F28" s="21">
        <v>0.29043000000000002</v>
      </c>
      <c r="G28" s="54">
        <v>145.215</v>
      </c>
      <c r="H28" s="54">
        <v>290.43</v>
      </c>
      <c r="I28" s="19" t="s">
        <v>602</v>
      </c>
      <c r="J28" s="19" t="s">
        <v>576</v>
      </c>
      <c r="K28" s="19"/>
      <c r="L28" s="19"/>
    </row>
    <row r="29" spans="1:12" ht="51.75" customHeight="1" x14ac:dyDescent="0.25">
      <c r="A29" s="17" t="s">
        <v>165</v>
      </c>
      <c r="B29" s="18" t="s">
        <v>60</v>
      </c>
      <c r="C29" s="20" t="s">
        <v>166</v>
      </c>
      <c r="D29" s="19" t="s">
        <v>167</v>
      </c>
      <c r="E29" s="20" t="s">
        <v>168</v>
      </c>
      <c r="F29" s="21">
        <v>0.22977</v>
      </c>
      <c r="G29" s="54">
        <v>114.88500000000001</v>
      </c>
      <c r="H29" s="54">
        <v>229.77</v>
      </c>
      <c r="I29" s="19" t="s">
        <v>588</v>
      </c>
      <c r="J29" s="19" t="s">
        <v>576</v>
      </c>
      <c r="K29" s="19"/>
      <c r="L29" s="19"/>
    </row>
    <row r="30" spans="1:12" ht="51.75" customHeight="1" x14ac:dyDescent="0.25">
      <c r="A30" s="17" t="s">
        <v>172</v>
      </c>
      <c r="B30" s="18" t="s">
        <v>60</v>
      </c>
      <c r="C30" s="20" t="s">
        <v>173</v>
      </c>
      <c r="D30" s="19" t="s">
        <v>174</v>
      </c>
      <c r="E30" s="20" t="s">
        <v>175</v>
      </c>
      <c r="F30" s="21">
        <v>0.05</v>
      </c>
      <c r="G30" s="54">
        <v>25</v>
      </c>
      <c r="H30" s="54">
        <v>50</v>
      </c>
      <c r="I30" s="19" t="s">
        <v>579</v>
      </c>
      <c r="J30" s="19" t="s">
        <v>576</v>
      </c>
      <c r="K30" s="19"/>
      <c r="L30" s="19"/>
    </row>
    <row r="31" spans="1:12" ht="51.75" customHeight="1" x14ac:dyDescent="0.25">
      <c r="A31" s="17" t="s">
        <v>181</v>
      </c>
      <c r="B31" s="18" t="s">
        <v>60</v>
      </c>
      <c r="C31" s="20" t="s">
        <v>183</v>
      </c>
      <c r="D31" s="19" t="s">
        <v>184</v>
      </c>
      <c r="E31" s="20" t="s">
        <v>185</v>
      </c>
      <c r="F31" s="21">
        <v>1.044E-2</v>
      </c>
      <c r="G31" s="54">
        <v>5.22</v>
      </c>
      <c r="H31" s="54">
        <v>10.44</v>
      </c>
      <c r="I31" s="19" t="s">
        <v>564</v>
      </c>
      <c r="J31" s="19" t="s">
        <v>576</v>
      </c>
      <c r="K31" s="19"/>
      <c r="L31" s="19"/>
    </row>
    <row r="32" spans="1:12" ht="51.75" customHeight="1" x14ac:dyDescent="0.25">
      <c r="A32" s="17" t="s">
        <v>186</v>
      </c>
      <c r="B32" s="18" t="s">
        <v>60</v>
      </c>
      <c r="C32" s="20" t="s">
        <v>188</v>
      </c>
      <c r="D32" s="19" t="s">
        <v>189</v>
      </c>
      <c r="E32" s="20" t="s">
        <v>190</v>
      </c>
      <c r="F32" s="21">
        <v>0.04</v>
      </c>
      <c r="G32" s="54">
        <v>20</v>
      </c>
      <c r="H32" s="54">
        <v>40</v>
      </c>
      <c r="I32" s="19" t="s">
        <v>564</v>
      </c>
      <c r="J32" s="19" t="s">
        <v>576</v>
      </c>
      <c r="K32" s="19"/>
      <c r="L32" s="19"/>
    </row>
    <row r="33" spans="1:12" ht="51.75" customHeight="1" x14ac:dyDescent="0.25">
      <c r="A33" s="17" t="s">
        <v>192</v>
      </c>
      <c r="B33" s="18" t="s">
        <v>60</v>
      </c>
      <c r="C33" s="20" t="s">
        <v>50</v>
      </c>
      <c r="D33" s="19" t="s">
        <v>194</v>
      </c>
      <c r="E33" s="20" t="s">
        <v>195</v>
      </c>
      <c r="F33" s="21">
        <v>1.469E-2</v>
      </c>
      <c r="G33" s="54">
        <v>7.3449999999999998</v>
      </c>
      <c r="H33" s="54">
        <v>14.69</v>
      </c>
      <c r="I33" s="19" t="s">
        <v>564</v>
      </c>
      <c r="J33" s="19" t="s">
        <v>576</v>
      </c>
      <c r="K33" s="19"/>
      <c r="L33" s="19"/>
    </row>
    <row r="34" spans="1:12" ht="51.75" customHeight="1" x14ac:dyDescent="0.25">
      <c r="A34" s="17" t="s">
        <v>211</v>
      </c>
      <c r="B34" s="18" t="s">
        <v>60</v>
      </c>
      <c r="C34" s="20" t="s">
        <v>212</v>
      </c>
      <c r="D34" s="19" t="s">
        <v>213</v>
      </c>
      <c r="E34" s="20" t="s">
        <v>214</v>
      </c>
      <c r="F34" s="21">
        <v>0.23807</v>
      </c>
      <c r="G34" s="54">
        <v>119.035</v>
      </c>
      <c r="H34" s="54">
        <v>238.07</v>
      </c>
      <c r="I34" s="19" t="s">
        <v>589</v>
      </c>
      <c r="J34" s="19" t="s">
        <v>576</v>
      </c>
      <c r="K34" s="19"/>
      <c r="L34" s="19"/>
    </row>
    <row r="35" spans="1:12" ht="51.75" customHeight="1" x14ac:dyDescent="0.25">
      <c r="A35" s="17" t="s">
        <v>234</v>
      </c>
      <c r="B35" s="18" t="s">
        <v>60</v>
      </c>
      <c r="C35" s="20" t="s">
        <v>104</v>
      </c>
      <c r="D35" s="19" t="s">
        <v>235</v>
      </c>
      <c r="E35" s="20" t="s">
        <v>43</v>
      </c>
      <c r="F35" s="20"/>
      <c r="G35" s="20"/>
      <c r="H35" s="20"/>
      <c r="I35" s="19" t="s">
        <v>573</v>
      </c>
      <c r="J35" s="19" t="s">
        <v>576</v>
      </c>
      <c r="K35" s="19"/>
      <c r="L35" s="19"/>
    </row>
    <row r="36" spans="1:12" ht="51.75" customHeight="1" x14ac:dyDescent="0.25">
      <c r="A36" s="17" t="s">
        <v>236</v>
      </c>
      <c r="B36" s="18" t="s">
        <v>60</v>
      </c>
      <c r="C36" s="20" t="s">
        <v>237</v>
      </c>
      <c r="D36" s="19" t="s">
        <v>590</v>
      </c>
      <c r="E36" s="20" t="s">
        <v>239</v>
      </c>
      <c r="F36" s="21">
        <v>0.05</v>
      </c>
      <c r="G36" s="54">
        <v>25</v>
      </c>
      <c r="H36" s="54">
        <v>50</v>
      </c>
      <c r="I36" s="19" t="s">
        <v>579</v>
      </c>
      <c r="J36" s="19" t="s">
        <v>576</v>
      </c>
      <c r="K36" s="19"/>
      <c r="L36" s="19"/>
    </row>
    <row r="37" spans="1:12" ht="51.75" customHeight="1" x14ac:dyDescent="0.25">
      <c r="A37" s="17" t="s">
        <v>244</v>
      </c>
      <c r="B37" s="18" t="s">
        <v>60</v>
      </c>
      <c r="C37" s="20" t="s">
        <v>246</v>
      </c>
      <c r="D37" s="19" t="s">
        <v>247</v>
      </c>
      <c r="E37" s="20" t="s">
        <v>21</v>
      </c>
      <c r="F37" s="21">
        <v>0.31739000000000001</v>
      </c>
      <c r="G37" s="54">
        <v>158.69499999999999</v>
      </c>
      <c r="H37" s="54">
        <v>317.39</v>
      </c>
      <c r="I37" s="19" t="s">
        <v>591</v>
      </c>
      <c r="J37" s="19" t="s">
        <v>576</v>
      </c>
      <c r="K37" s="19"/>
      <c r="L37" s="19"/>
    </row>
    <row r="38" spans="1:12" ht="51.75" customHeight="1" x14ac:dyDescent="0.25">
      <c r="A38" s="17" t="s">
        <v>248</v>
      </c>
      <c r="B38" s="18" t="s">
        <v>60</v>
      </c>
      <c r="C38" s="20" t="s">
        <v>250</v>
      </c>
      <c r="D38" s="19" t="s">
        <v>251</v>
      </c>
      <c r="E38" s="20" t="s">
        <v>43</v>
      </c>
      <c r="F38" s="20"/>
      <c r="G38" s="20"/>
      <c r="H38" s="20"/>
      <c r="I38" s="19" t="s">
        <v>573</v>
      </c>
      <c r="J38" s="19" t="s">
        <v>576</v>
      </c>
      <c r="K38" s="19"/>
      <c r="L38" s="19"/>
    </row>
    <row r="39" spans="1:12" ht="51.75" customHeight="1" x14ac:dyDescent="0.25">
      <c r="A39" s="17" t="s">
        <v>263</v>
      </c>
      <c r="B39" s="18" t="s">
        <v>60</v>
      </c>
      <c r="C39" s="20" t="s">
        <v>264</v>
      </c>
      <c r="D39" s="19" t="s">
        <v>265</v>
      </c>
      <c r="E39" s="20" t="s">
        <v>266</v>
      </c>
      <c r="F39" s="21">
        <v>5.2269999999999997E-2</v>
      </c>
      <c r="G39" s="54">
        <v>26.135000000000002</v>
      </c>
      <c r="H39" s="54">
        <v>52.27</v>
      </c>
      <c r="I39" s="19" t="s">
        <v>579</v>
      </c>
      <c r="J39" s="19" t="s">
        <v>576</v>
      </c>
      <c r="K39" s="19"/>
      <c r="L39" s="19"/>
    </row>
  </sheetData>
  <mergeCells count="4">
    <mergeCell ref="A4:L4"/>
    <mergeCell ref="A2:N2"/>
    <mergeCell ref="A18:L18"/>
    <mergeCell ref="A1:N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D32"/>
  </sheetPr>
  <dimension ref="A1:N45"/>
  <sheetViews>
    <sheetView zoomScaleNormal="100" workbookViewId="0">
      <pane xSplit="1" ySplit="3" topLeftCell="B4" activePane="bottomRight" state="frozen"/>
      <selection pane="topRight" activeCell="B1" sqref="B1"/>
      <selection pane="bottomLeft" activeCell="A4" sqref="A4"/>
      <selection pane="bottomRight" sqref="A1:N1"/>
    </sheetView>
  </sheetViews>
  <sheetFormatPr defaultColWidth="8.7109375" defaultRowHeight="15" x14ac:dyDescent="0.25"/>
  <cols>
    <col min="1" max="1" width="28" customWidth="1"/>
    <col min="2" max="2" width="10" customWidth="1"/>
    <col min="3" max="3" width="13" customWidth="1"/>
    <col min="4" max="4" width="40" customWidth="1"/>
    <col min="5" max="5" width="13" customWidth="1"/>
    <col min="6" max="6" width="9" customWidth="1"/>
    <col min="7" max="8" width="11" customWidth="1"/>
    <col min="9" max="9" width="28" customWidth="1"/>
    <col min="10" max="10" width="20" customWidth="1"/>
    <col min="11" max="11" width="22" customWidth="1"/>
    <col min="12" max="12" width="32" customWidth="1"/>
  </cols>
  <sheetData>
    <row r="1" spans="1:14" ht="30" customHeight="1" x14ac:dyDescent="0.25">
      <c r="A1" s="114" t="s">
        <v>603</v>
      </c>
      <c r="B1" s="112"/>
      <c r="C1" s="112"/>
      <c r="D1" s="112"/>
      <c r="E1" s="112"/>
      <c r="F1" s="112"/>
      <c r="G1" s="112"/>
      <c r="H1" s="112"/>
      <c r="I1" s="112"/>
      <c r="J1" s="112"/>
      <c r="K1" s="112"/>
      <c r="L1" s="112"/>
      <c r="M1" s="112"/>
      <c r="N1" s="112"/>
    </row>
    <row r="2" spans="1:14" ht="24" customHeight="1" x14ac:dyDescent="0.25">
      <c r="A2" s="126" t="s">
        <v>604</v>
      </c>
      <c r="B2" s="112"/>
      <c r="C2" s="112"/>
      <c r="D2" s="112"/>
      <c r="E2" s="112"/>
      <c r="F2" s="112"/>
      <c r="G2" s="112"/>
      <c r="H2" s="112"/>
      <c r="I2" s="112"/>
      <c r="J2" s="112"/>
      <c r="K2" s="112"/>
      <c r="L2" s="112"/>
      <c r="M2" s="112"/>
      <c r="N2" s="112"/>
    </row>
    <row r="3" spans="1:14" ht="36" customHeight="1" x14ac:dyDescent="0.25">
      <c r="A3" s="7" t="s">
        <v>2</v>
      </c>
      <c r="B3" s="7" t="s">
        <v>3</v>
      </c>
      <c r="C3" s="7" t="s">
        <v>544</v>
      </c>
      <c r="D3" s="7" t="s">
        <v>545</v>
      </c>
      <c r="E3" s="7" t="s">
        <v>7</v>
      </c>
      <c r="F3" s="7" t="s">
        <v>526</v>
      </c>
      <c r="G3" s="7" t="s">
        <v>9</v>
      </c>
      <c r="H3" s="7" t="s">
        <v>546</v>
      </c>
      <c r="I3" s="7" t="s">
        <v>547</v>
      </c>
      <c r="J3" s="7" t="s">
        <v>548</v>
      </c>
      <c r="K3" s="7" t="s">
        <v>549</v>
      </c>
      <c r="L3" s="7" t="s">
        <v>550</v>
      </c>
    </row>
    <row r="4" spans="1:14" ht="21.75" customHeight="1" x14ac:dyDescent="0.25">
      <c r="A4" s="123" t="s">
        <v>605</v>
      </c>
      <c r="B4" s="112"/>
      <c r="C4" s="112"/>
      <c r="D4" s="112"/>
      <c r="E4" s="112"/>
      <c r="F4" s="112"/>
      <c r="G4" s="112"/>
      <c r="H4" s="112"/>
      <c r="I4" s="112"/>
      <c r="J4" s="112"/>
      <c r="K4" s="112"/>
      <c r="L4" s="112"/>
    </row>
    <row r="5" spans="1:14" ht="51.75" customHeight="1" x14ac:dyDescent="0.25">
      <c r="A5" s="8" t="s">
        <v>32</v>
      </c>
      <c r="B5" s="9" t="s">
        <v>17</v>
      </c>
      <c r="C5" s="11" t="s">
        <v>34</v>
      </c>
      <c r="D5" s="10" t="s">
        <v>35</v>
      </c>
      <c r="E5" s="11" t="s">
        <v>36</v>
      </c>
      <c r="F5" s="12">
        <v>0.5</v>
      </c>
      <c r="G5" s="13">
        <v>250</v>
      </c>
      <c r="H5" s="13">
        <v>500</v>
      </c>
      <c r="I5" s="10" t="s">
        <v>557</v>
      </c>
      <c r="J5" s="10" t="s">
        <v>556</v>
      </c>
      <c r="K5" s="10"/>
      <c r="L5" s="10"/>
    </row>
    <row r="6" spans="1:14" ht="51.75" customHeight="1" x14ac:dyDescent="0.25">
      <c r="A6" s="8" t="s">
        <v>44</v>
      </c>
      <c r="B6" s="9" t="s">
        <v>17</v>
      </c>
      <c r="C6" s="11" t="s">
        <v>46</v>
      </c>
      <c r="D6" s="10" t="s">
        <v>560</v>
      </c>
      <c r="E6" s="11" t="s">
        <v>47</v>
      </c>
      <c r="F6" s="12">
        <v>0.19395999999999999</v>
      </c>
      <c r="G6" s="16">
        <v>96.98</v>
      </c>
      <c r="H6" s="13">
        <v>193.96</v>
      </c>
      <c r="I6" s="10" t="s">
        <v>561</v>
      </c>
      <c r="J6" s="10" t="s">
        <v>556</v>
      </c>
      <c r="K6" s="10"/>
      <c r="L6" s="10"/>
    </row>
    <row r="7" spans="1:14" ht="51.75" customHeight="1" x14ac:dyDescent="0.25">
      <c r="A7" s="8" t="s">
        <v>49</v>
      </c>
      <c r="B7" s="9" t="s">
        <v>17</v>
      </c>
      <c r="C7" s="11" t="s">
        <v>50</v>
      </c>
      <c r="D7" s="10" t="s">
        <v>56</v>
      </c>
      <c r="E7" s="11" t="s">
        <v>52</v>
      </c>
      <c r="F7" s="12">
        <v>0.21329000000000001</v>
      </c>
      <c r="G7" s="13">
        <v>106.645</v>
      </c>
      <c r="H7" s="13">
        <v>213.29</v>
      </c>
      <c r="I7" s="10" t="s">
        <v>562</v>
      </c>
      <c r="J7" s="10" t="s">
        <v>556</v>
      </c>
      <c r="K7" s="10"/>
      <c r="L7" s="10"/>
    </row>
    <row r="8" spans="1:14" ht="51.75" customHeight="1" x14ac:dyDescent="0.25">
      <c r="A8" s="8" t="s">
        <v>54</v>
      </c>
      <c r="B8" s="9" t="s">
        <v>17</v>
      </c>
      <c r="C8" s="11" t="s">
        <v>55</v>
      </c>
      <c r="D8" s="10" t="s">
        <v>563</v>
      </c>
      <c r="E8" s="11" t="s">
        <v>57</v>
      </c>
      <c r="F8" s="12">
        <v>0.04</v>
      </c>
      <c r="G8" s="15">
        <v>20</v>
      </c>
      <c r="H8" s="15">
        <v>40</v>
      </c>
      <c r="I8" s="10" t="s">
        <v>564</v>
      </c>
      <c r="J8" s="10" t="s">
        <v>556</v>
      </c>
      <c r="K8" s="10"/>
      <c r="L8" s="10"/>
    </row>
    <row r="9" spans="1:14" ht="51.75" customHeight="1" x14ac:dyDescent="0.25">
      <c r="A9" s="8" t="s">
        <v>64</v>
      </c>
      <c r="B9" s="9" t="s">
        <v>17</v>
      </c>
      <c r="C9" s="11" t="s">
        <v>65</v>
      </c>
      <c r="D9" s="10" t="s">
        <v>565</v>
      </c>
      <c r="E9" s="11" t="s">
        <v>66</v>
      </c>
      <c r="F9" s="12">
        <v>0.26</v>
      </c>
      <c r="G9" s="13">
        <v>130</v>
      </c>
      <c r="H9" s="13">
        <v>260</v>
      </c>
      <c r="I9" s="10" t="s">
        <v>566</v>
      </c>
      <c r="J9" s="10" t="s">
        <v>556</v>
      </c>
      <c r="K9" s="10"/>
      <c r="L9" s="10"/>
    </row>
    <row r="10" spans="1:14" ht="51.75" customHeight="1" x14ac:dyDescent="0.25">
      <c r="A10" s="8" t="s">
        <v>68</v>
      </c>
      <c r="B10" s="9" t="s">
        <v>17</v>
      </c>
      <c r="C10" s="11" t="s">
        <v>69</v>
      </c>
      <c r="D10" s="10" t="s">
        <v>567</v>
      </c>
      <c r="E10" s="11" t="s">
        <v>71</v>
      </c>
      <c r="F10" s="12">
        <v>0.3</v>
      </c>
      <c r="G10" s="13">
        <v>150</v>
      </c>
      <c r="H10" s="13">
        <v>300</v>
      </c>
      <c r="I10" s="10" t="s">
        <v>568</v>
      </c>
      <c r="J10" s="10" t="s">
        <v>556</v>
      </c>
      <c r="K10" s="10"/>
      <c r="L10" s="10"/>
    </row>
    <row r="11" spans="1:14" ht="51.75" customHeight="1" x14ac:dyDescent="0.25">
      <c r="A11" s="8" t="s">
        <v>269</v>
      </c>
      <c r="B11" s="9" t="s">
        <v>17</v>
      </c>
      <c r="C11" s="11" t="s">
        <v>271</v>
      </c>
      <c r="D11" s="10" t="s">
        <v>272</v>
      </c>
      <c r="E11" s="11" t="s">
        <v>273</v>
      </c>
      <c r="F11" s="12">
        <v>0.32385999999999998</v>
      </c>
      <c r="G11" s="13">
        <v>161.93</v>
      </c>
      <c r="H11" s="13">
        <v>323.86</v>
      </c>
      <c r="I11" s="10" t="s">
        <v>586</v>
      </c>
      <c r="J11" s="10" t="s">
        <v>556</v>
      </c>
      <c r="K11" s="10"/>
      <c r="L11" s="10"/>
    </row>
    <row r="12" spans="1:14" ht="51.75" customHeight="1" x14ac:dyDescent="0.25">
      <c r="A12" s="8" t="s">
        <v>85</v>
      </c>
      <c r="B12" s="9" t="s">
        <v>17</v>
      </c>
      <c r="C12" s="11" t="s">
        <v>86</v>
      </c>
      <c r="D12" s="10" t="s">
        <v>569</v>
      </c>
      <c r="E12" s="11" t="s">
        <v>540</v>
      </c>
      <c r="F12" s="12">
        <v>0.40350000000000003</v>
      </c>
      <c r="G12" s="13">
        <v>201.75</v>
      </c>
      <c r="H12" s="13">
        <v>403.5</v>
      </c>
      <c r="I12" s="10" t="s">
        <v>570</v>
      </c>
      <c r="J12" s="10" t="s">
        <v>556</v>
      </c>
      <c r="K12" s="10"/>
      <c r="L12" s="10"/>
    </row>
    <row r="13" spans="1:14" ht="51.75" customHeight="1" x14ac:dyDescent="0.25">
      <c r="A13" s="8" t="s">
        <v>275</v>
      </c>
      <c r="B13" s="9" t="s">
        <v>17</v>
      </c>
      <c r="C13" s="11" t="s">
        <v>156</v>
      </c>
      <c r="D13" s="10" t="s">
        <v>277</v>
      </c>
      <c r="E13" s="11" t="s">
        <v>278</v>
      </c>
      <c r="F13" s="12">
        <v>0.11</v>
      </c>
      <c r="G13" s="16">
        <v>55</v>
      </c>
      <c r="H13" s="13">
        <v>110</v>
      </c>
      <c r="I13" s="10" t="s">
        <v>571</v>
      </c>
      <c r="J13" s="10" t="s">
        <v>556</v>
      </c>
      <c r="K13" s="10"/>
      <c r="L13" s="10"/>
    </row>
    <row r="14" spans="1:14" ht="51.75" customHeight="1" x14ac:dyDescent="0.25">
      <c r="A14" s="8" t="s">
        <v>93</v>
      </c>
      <c r="B14" s="9" t="s">
        <v>17</v>
      </c>
      <c r="C14" s="11" t="s">
        <v>95</v>
      </c>
      <c r="D14" s="10" t="s">
        <v>96</v>
      </c>
      <c r="E14" s="11" t="s">
        <v>43</v>
      </c>
      <c r="F14" s="11"/>
      <c r="G14" s="11"/>
      <c r="H14" s="11"/>
      <c r="I14" s="10" t="s">
        <v>573</v>
      </c>
      <c r="J14" s="10" t="s">
        <v>556</v>
      </c>
      <c r="K14" s="10"/>
      <c r="L14" s="10"/>
    </row>
    <row r="15" spans="1:14" ht="51.75" customHeight="1" x14ac:dyDescent="0.25">
      <c r="A15" s="8" t="s">
        <v>100</v>
      </c>
      <c r="B15" s="9" t="s">
        <v>101</v>
      </c>
      <c r="C15" s="11"/>
      <c r="D15" s="10"/>
      <c r="E15" s="11" t="s">
        <v>43</v>
      </c>
      <c r="F15" s="11"/>
      <c r="G15" s="11"/>
      <c r="H15" s="11"/>
      <c r="I15" s="10" t="s">
        <v>573</v>
      </c>
      <c r="J15" s="10" t="s">
        <v>556</v>
      </c>
      <c r="K15" s="10"/>
      <c r="L15" s="10"/>
    </row>
    <row r="16" spans="1:14" ht="21.75" customHeight="1" x14ac:dyDescent="0.25">
      <c r="A16" s="121" t="s">
        <v>606</v>
      </c>
      <c r="B16" s="112"/>
      <c r="C16" s="112"/>
      <c r="D16" s="112"/>
      <c r="E16" s="112"/>
      <c r="F16" s="112"/>
      <c r="G16" s="112"/>
      <c r="H16" s="112"/>
      <c r="I16" s="112"/>
      <c r="J16" s="112"/>
      <c r="K16" s="112"/>
      <c r="L16" s="112"/>
    </row>
    <row r="17" spans="1:12" ht="51.75" customHeight="1" x14ac:dyDescent="0.25">
      <c r="A17" s="17" t="s">
        <v>108</v>
      </c>
      <c r="B17" s="18" t="s">
        <v>60</v>
      </c>
      <c r="C17" s="20" t="s">
        <v>110</v>
      </c>
      <c r="D17" s="19" t="s">
        <v>111</v>
      </c>
      <c r="E17" s="20" t="s">
        <v>112</v>
      </c>
      <c r="F17" s="21">
        <v>0.17348</v>
      </c>
      <c r="G17" s="54">
        <v>86.74</v>
      </c>
      <c r="H17" s="54">
        <v>173.48</v>
      </c>
      <c r="I17" s="19" t="s">
        <v>577</v>
      </c>
      <c r="J17" s="19" t="s">
        <v>576</v>
      </c>
      <c r="K17" s="19"/>
      <c r="L17" s="19"/>
    </row>
    <row r="18" spans="1:12" ht="51.75" customHeight="1" x14ac:dyDescent="0.25">
      <c r="A18" s="17" t="s">
        <v>59</v>
      </c>
      <c r="B18" s="18" t="s">
        <v>60</v>
      </c>
      <c r="C18" s="20" t="s">
        <v>61</v>
      </c>
      <c r="D18" s="19" t="s">
        <v>580</v>
      </c>
      <c r="E18" s="20" t="s">
        <v>62</v>
      </c>
      <c r="F18" s="21">
        <v>0.30569000000000002</v>
      </c>
      <c r="G18" s="54">
        <v>152.845</v>
      </c>
      <c r="H18" s="54">
        <v>305.69</v>
      </c>
      <c r="I18" s="19" t="s">
        <v>581</v>
      </c>
      <c r="J18" s="19" t="s">
        <v>576</v>
      </c>
      <c r="K18" s="19"/>
      <c r="L18" s="19"/>
    </row>
    <row r="19" spans="1:12" ht="51.75" customHeight="1" x14ac:dyDescent="0.25">
      <c r="A19" s="17" t="s">
        <v>113</v>
      </c>
      <c r="B19" s="18" t="s">
        <v>60</v>
      </c>
      <c r="C19" s="20" t="s">
        <v>114</v>
      </c>
      <c r="D19" s="19" t="s">
        <v>115</v>
      </c>
      <c r="E19" s="20" t="s">
        <v>116</v>
      </c>
      <c r="F19" s="21">
        <v>1.5939999999999999E-2</v>
      </c>
      <c r="G19" s="54">
        <v>7.97</v>
      </c>
      <c r="H19" s="54">
        <v>15.94</v>
      </c>
      <c r="I19" s="19" t="s">
        <v>564</v>
      </c>
      <c r="J19" s="19" t="s">
        <v>576</v>
      </c>
      <c r="K19" s="19"/>
      <c r="L19" s="19"/>
    </row>
    <row r="20" spans="1:12" ht="51.75" customHeight="1" x14ac:dyDescent="0.25">
      <c r="A20" s="17" t="s">
        <v>73</v>
      </c>
      <c r="B20" s="18" t="s">
        <v>60</v>
      </c>
      <c r="C20" s="20" t="s">
        <v>156</v>
      </c>
      <c r="D20" s="19" t="s">
        <v>582</v>
      </c>
      <c r="E20" s="20" t="s">
        <v>77</v>
      </c>
      <c r="F20" s="21">
        <v>0.78681999999999996</v>
      </c>
      <c r="G20" s="54">
        <v>393.41</v>
      </c>
      <c r="H20" s="54">
        <v>786.82</v>
      </c>
      <c r="I20" s="19" t="s">
        <v>583</v>
      </c>
      <c r="J20" s="19" t="s">
        <v>576</v>
      </c>
      <c r="K20" s="19"/>
      <c r="L20" s="19"/>
    </row>
    <row r="21" spans="1:12" ht="51.75" customHeight="1" x14ac:dyDescent="0.25">
      <c r="A21" s="17" t="s">
        <v>118</v>
      </c>
      <c r="B21" s="18" t="s">
        <v>60</v>
      </c>
      <c r="C21" s="20" t="s">
        <v>120</v>
      </c>
      <c r="D21" s="19" t="s">
        <v>584</v>
      </c>
      <c r="E21" s="20" t="s">
        <v>43</v>
      </c>
      <c r="F21" s="20"/>
      <c r="G21" s="20"/>
      <c r="H21" s="20"/>
      <c r="I21" s="19" t="s">
        <v>573</v>
      </c>
      <c r="J21" s="19" t="s">
        <v>576</v>
      </c>
      <c r="K21" s="19"/>
      <c r="L21" s="19"/>
    </row>
    <row r="22" spans="1:12" ht="51.75" customHeight="1" x14ac:dyDescent="0.25">
      <c r="A22" s="17" t="s">
        <v>123</v>
      </c>
      <c r="B22" s="18" t="s">
        <v>60</v>
      </c>
      <c r="C22" s="20" t="s">
        <v>19</v>
      </c>
      <c r="D22" s="19" t="s">
        <v>125</v>
      </c>
      <c r="E22" s="20" t="s">
        <v>126</v>
      </c>
      <c r="F22" s="21">
        <v>0.15659999999999999</v>
      </c>
      <c r="G22" s="54">
        <v>78.3</v>
      </c>
      <c r="H22" s="54">
        <v>156.6</v>
      </c>
      <c r="I22" s="19" t="s">
        <v>585</v>
      </c>
      <c r="J22" s="19" t="s">
        <v>576</v>
      </c>
      <c r="K22" s="19"/>
      <c r="L22" s="19"/>
    </row>
    <row r="23" spans="1:12" ht="51.75" customHeight="1" x14ac:dyDescent="0.25">
      <c r="A23" s="17" t="s">
        <v>128</v>
      </c>
      <c r="B23" s="18" t="s">
        <v>60</v>
      </c>
      <c r="C23" s="20" t="s">
        <v>129</v>
      </c>
      <c r="D23" s="19" t="s">
        <v>130</v>
      </c>
      <c r="E23" s="20" t="s">
        <v>131</v>
      </c>
      <c r="F23" s="21">
        <v>0.32323000000000002</v>
      </c>
      <c r="G23" s="54">
        <v>161.61500000000001</v>
      </c>
      <c r="H23" s="54">
        <v>323.23</v>
      </c>
      <c r="I23" s="19" t="s">
        <v>586</v>
      </c>
      <c r="J23" s="19" t="s">
        <v>576</v>
      </c>
      <c r="K23" s="19"/>
      <c r="L23" s="19"/>
    </row>
    <row r="24" spans="1:12" ht="51.75" customHeight="1" x14ac:dyDescent="0.25">
      <c r="A24" s="17" t="s">
        <v>143</v>
      </c>
      <c r="B24" s="18" t="s">
        <v>60</v>
      </c>
      <c r="C24" s="20" t="s">
        <v>145</v>
      </c>
      <c r="D24" s="19" t="s">
        <v>146</v>
      </c>
      <c r="E24" s="20" t="s">
        <v>43</v>
      </c>
      <c r="F24" s="20"/>
      <c r="G24" s="20"/>
      <c r="H24" s="20"/>
      <c r="I24" s="19" t="s">
        <v>573</v>
      </c>
      <c r="J24" s="19" t="s">
        <v>576</v>
      </c>
      <c r="K24" s="19"/>
      <c r="L24" s="19"/>
    </row>
    <row r="25" spans="1:12" ht="51.75" customHeight="1" x14ac:dyDescent="0.25">
      <c r="A25" s="17" t="s">
        <v>154</v>
      </c>
      <c r="B25" s="18" t="s">
        <v>60</v>
      </c>
      <c r="C25" s="20" t="s">
        <v>156</v>
      </c>
      <c r="D25" s="19" t="s">
        <v>157</v>
      </c>
      <c r="E25" s="20" t="s">
        <v>158</v>
      </c>
      <c r="F25" s="21">
        <v>0.39251999999999998</v>
      </c>
      <c r="G25" s="54">
        <v>196.26</v>
      </c>
      <c r="H25" s="54">
        <v>392.52</v>
      </c>
      <c r="I25" s="19" t="s">
        <v>587</v>
      </c>
      <c r="J25" s="19" t="s">
        <v>576</v>
      </c>
      <c r="K25" s="19"/>
      <c r="L25" s="19"/>
    </row>
    <row r="26" spans="1:12" ht="51.75" customHeight="1" x14ac:dyDescent="0.25">
      <c r="A26" s="17" t="s">
        <v>159</v>
      </c>
      <c r="B26" s="18" t="s">
        <v>60</v>
      </c>
      <c r="C26" s="20" t="s">
        <v>161</v>
      </c>
      <c r="D26" s="19" t="s">
        <v>162</v>
      </c>
      <c r="E26" s="20" t="s">
        <v>163</v>
      </c>
      <c r="F26" s="21">
        <v>0.29043000000000002</v>
      </c>
      <c r="G26" s="54">
        <v>145.215</v>
      </c>
      <c r="H26" s="54">
        <v>290.43</v>
      </c>
      <c r="I26" s="19" t="s">
        <v>602</v>
      </c>
      <c r="J26" s="19" t="s">
        <v>576</v>
      </c>
      <c r="K26" s="19"/>
      <c r="L26" s="19"/>
    </row>
    <row r="27" spans="1:12" ht="51.75" customHeight="1" x14ac:dyDescent="0.25">
      <c r="A27" s="17" t="s">
        <v>165</v>
      </c>
      <c r="B27" s="18" t="s">
        <v>60</v>
      </c>
      <c r="C27" s="20" t="s">
        <v>166</v>
      </c>
      <c r="D27" s="19" t="s">
        <v>167</v>
      </c>
      <c r="E27" s="20" t="s">
        <v>168</v>
      </c>
      <c r="F27" s="21">
        <v>0.22977</v>
      </c>
      <c r="G27" s="54">
        <v>114.88500000000001</v>
      </c>
      <c r="H27" s="54">
        <v>229.77</v>
      </c>
      <c r="I27" s="19" t="s">
        <v>588</v>
      </c>
      <c r="J27" s="19" t="s">
        <v>576</v>
      </c>
      <c r="K27" s="19"/>
      <c r="L27" s="19"/>
    </row>
    <row r="28" spans="1:12" ht="51.75" customHeight="1" x14ac:dyDescent="0.25">
      <c r="A28" s="17" t="s">
        <v>172</v>
      </c>
      <c r="B28" s="18" t="s">
        <v>60</v>
      </c>
      <c r="C28" s="20" t="s">
        <v>173</v>
      </c>
      <c r="D28" s="19" t="s">
        <v>174</v>
      </c>
      <c r="E28" s="20" t="s">
        <v>175</v>
      </c>
      <c r="F28" s="21">
        <v>0.05</v>
      </c>
      <c r="G28" s="54">
        <v>25</v>
      </c>
      <c r="H28" s="54">
        <v>50</v>
      </c>
      <c r="I28" s="19" t="s">
        <v>579</v>
      </c>
      <c r="J28" s="19" t="s">
        <v>576</v>
      </c>
      <c r="K28" s="19"/>
      <c r="L28" s="19"/>
    </row>
    <row r="29" spans="1:12" ht="51.75" customHeight="1" x14ac:dyDescent="0.25">
      <c r="A29" s="17" t="s">
        <v>176</v>
      </c>
      <c r="B29" s="18" t="s">
        <v>60</v>
      </c>
      <c r="C29" s="20" t="s">
        <v>177</v>
      </c>
      <c r="D29" s="19" t="s">
        <v>607</v>
      </c>
      <c r="E29" s="20" t="s">
        <v>179</v>
      </c>
      <c r="F29" s="21">
        <v>7.2520000000000001E-2</v>
      </c>
      <c r="G29" s="54">
        <v>36.26</v>
      </c>
      <c r="H29" s="54">
        <v>72.52</v>
      </c>
      <c r="I29" s="19" t="s">
        <v>579</v>
      </c>
      <c r="J29" s="19" t="s">
        <v>576</v>
      </c>
      <c r="K29" s="19"/>
      <c r="L29" s="19"/>
    </row>
    <row r="30" spans="1:12" ht="51.75" customHeight="1" x14ac:dyDescent="0.25">
      <c r="A30" s="17" t="s">
        <v>181</v>
      </c>
      <c r="B30" s="18" t="s">
        <v>60</v>
      </c>
      <c r="C30" s="20" t="s">
        <v>183</v>
      </c>
      <c r="D30" s="19" t="s">
        <v>184</v>
      </c>
      <c r="E30" s="20" t="s">
        <v>185</v>
      </c>
      <c r="F30" s="21">
        <v>1.044E-2</v>
      </c>
      <c r="G30" s="54">
        <v>5.22</v>
      </c>
      <c r="H30" s="54">
        <v>10.44</v>
      </c>
      <c r="I30" s="19" t="s">
        <v>564</v>
      </c>
      <c r="J30" s="19" t="s">
        <v>576</v>
      </c>
      <c r="K30" s="19"/>
      <c r="L30" s="19"/>
    </row>
    <row r="31" spans="1:12" ht="51.75" customHeight="1" x14ac:dyDescent="0.25">
      <c r="A31" s="17" t="s">
        <v>186</v>
      </c>
      <c r="B31" s="18" t="s">
        <v>60</v>
      </c>
      <c r="C31" s="20" t="s">
        <v>188</v>
      </c>
      <c r="D31" s="19" t="s">
        <v>189</v>
      </c>
      <c r="E31" s="20" t="s">
        <v>190</v>
      </c>
      <c r="F31" s="21">
        <v>0.04</v>
      </c>
      <c r="G31" s="54">
        <v>20</v>
      </c>
      <c r="H31" s="54">
        <v>40</v>
      </c>
      <c r="I31" s="19" t="s">
        <v>564</v>
      </c>
      <c r="J31" s="19" t="s">
        <v>576</v>
      </c>
      <c r="K31" s="19"/>
      <c r="L31" s="19"/>
    </row>
    <row r="32" spans="1:12" ht="51.75" customHeight="1" x14ac:dyDescent="0.25">
      <c r="A32" s="17" t="s">
        <v>196</v>
      </c>
      <c r="B32" s="18" t="s">
        <v>60</v>
      </c>
      <c r="C32" s="20" t="s">
        <v>197</v>
      </c>
      <c r="D32" s="19" t="s">
        <v>608</v>
      </c>
      <c r="E32" s="20" t="s">
        <v>199</v>
      </c>
      <c r="F32" s="21">
        <v>0.34171000000000001</v>
      </c>
      <c r="G32" s="54">
        <v>170.85499999999999</v>
      </c>
      <c r="H32" s="54">
        <v>341.71</v>
      </c>
      <c r="I32" s="19" t="s">
        <v>609</v>
      </c>
      <c r="J32" s="19" t="s">
        <v>576</v>
      </c>
      <c r="K32" s="19"/>
      <c r="L32" s="19"/>
    </row>
    <row r="33" spans="1:12" ht="51.75" customHeight="1" x14ac:dyDescent="0.25">
      <c r="A33" s="17" t="s">
        <v>203</v>
      </c>
      <c r="B33" s="18" t="s">
        <v>60</v>
      </c>
      <c r="C33" s="20" t="s">
        <v>204</v>
      </c>
      <c r="D33" s="19" t="s">
        <v>205</v>
      </c>
      <c r="E33" s="20" t="s">
        <v>206</v>
      </c>
      <c r="F33" s="21">
        <v>1.8556E-2</v>
      </c>
      <c r="G33" s="54">
        <v>9.2780000000000005</v>
      </c>
      <c r="H33" s="54">
        <v>18.556000000000001</v>
      </c>
      <c r="I33" s="19" t="s">
        <v>564</v>
      </c>
      <c r="J33" s="19" t="s">
        <v>576</v>
      </c>
      <c r="K33" s="19"/>
      <c r="L33" s="19"/>
    </row>
    <row r="34" spans="1:12" ht="51.75" customHeight="1" x14ac:dyDescent="0.25">
      <c r="A34" s="17" t="s">
        <v>207</v>
      </c>
      <c r="B34" s="18" t="s">
        <v>60</v>
      </c>
      <c r="C34" s="20" t="s">
        <v>208</v>
      </c>
      <c r="D34" s="19" t="s">
        <v>209</v>
      </c>
      <c r="E34" s="20" t="s">
        <v>210</v>
      </c>
      <c r="F34" s="21">
        <v>0.18321999999999999</v>
      </c>
      <c r="G34" s="54">
        <v>91.61</v>
      </c>
      <c r="H34" s="54">
        <v>183.22</v>
      </c>
      <c r="I34" s="19" t="s">
        <v>610</v>
      </c>
      <c r="J34" s="19" t="s">
        <v>576</v>
      </c>
      <c r="K34" s="19"/>
      <c r="L34" s="19"/>
    </row>
    <row r="35" spans="1:12" ht="51.75" customHeight="1" x14ac:dyDescent="0.25">
      <c r="A35" s="17" t="s">
        <v>211</v>
      </c>
      <c r="B35" s="18" t="s">
        <v>60</v>
      </c>
      <c r="C35" s="20" t="s">
        <v>212</v>
      </c>
      <c r="D35" s="19" t="s">
        <v>213</v>
      </c>
      <c r="E35" s="20" t="s">
        <v>214</v>
      </c>
      <c r="F35" s="21">
        <v>0.23807</v>
      </c>
      <c r="G35" s="54">
        <v>119.035</v>
      </c>
      <c r="H35" s="54">
        <v>238.07</v>
      </c>
      <c r="I35" s="19" t="s">
        <v>589</v>
      </c>
      <c r="J35" s="19" t="s">
        <v>576</v>
      </c>
      <c r="K35" s="19"/>
      <c r="L35" s="19"/>
    </row>
    <row r="36" spans="1:12" ht="51.75" customHeight="1" x14ac:dyDescent="0.25">
      <c r="A36" s="17" t="s">
        <v>216</v>
      </c>
      <c r="B36" s="18" t="s">
        <v>60</v>
      </c>
      <c r="C36" s="20" t="s">
        <v>41</v>
      </c>
      <c r="D36" s="19" t="s">
        <v>218</v>
      </c>
      <c r="E36" s="20" t="s">
        <v>219</v>
      </c>
      <c r="F36" s="21">
        <v>0.15343000000000001</v>
      </c>
      <c r="G36" s="54">
        <v>76.715000000000003</v>
      </c>
      <c r="H36" s="54">
        <v>153.43</v>
      </c>
      <c r="I36" s="19" t="s">
        <v>611</v>
      </c>
      <c r="J36" s="19" t="s">
        <v>576</v>
      </c>
      <c r="K36" s="19"/>
      <c r="L36" s="19"/>
    </row>
    <row r="37" spans="1:12" ht="51.75" customHeight="1" x14ac:dyDescent="0.25">
      <c r="A37" s="17" t="s">
        <v>220</v>
      </c>
      <c r="B37" s="18" t="s">
        <v>60</v>
      </c>
      <c r="C37" s="20" t="s">
        <v>221</v>
      </c>
      <c r="D37" s="19" t="s">
        <v>222</v>
      </c>
      <c r="E37" s="20" t="s">
        <v>223</v>
      </c>
      <c r="F37" s="21">
        <v>7.22E-2</v>
      </c>
      <c r="G37" s="54">
        <v>36.1</v>
      </c>
      <c r="H37" s="54">
        <v>72.2</v>
      </c>
      <c r="I37" s="19" t="s">
        <v>579</v>
      </c>
      <c r="J37" s="19" t="s">
        <v>576</v>
      </c>
      <c r="K37" s="19"/>
      <c r="L37" s="19"/>
    </row>
    <row r="38" spans="1:12" ht="51.75" customHeight="1" x14ac:dyDescent="0.25">
      <c r="A38" s="17" t="s">
        <v>225</v>
      </c>
      <c r="B38" s="18" t="s">
        <v>60</v>
      </c>
      <c r="C38" s="20" t="s">
        <v>212</v>
      </c>
      <c r="D38" s="19" t="s">
        <v>227</v>
      </c>
      <c r="E38" s="20" t="s">
        <v>228</v>
      </c>
      <c r="F38" s="21">
        <v>9.5149999999999998E-2</v>
      </c>
      <c r="G38" s="54">
        <v>47.575000000000003</v>
      </c>
      <c r="H38" s="54">
        <v>95.15</v>
      </c>
      <c r="I38" s="19" t="s">
        <v>579</v>
      </c>
      <c r="J38" s="19" t="s">
        <v>576</v>
      </c>
      <c r="K38" s="19"/>
      <c r="L38" s="19"/>
    </row>
    <row r="39" spans="1:12" ht="51.75" customHeight="1" x14ac:dyDescent="0.25">
      <c r="A39" s="17" t="s">
        <v>229</v>
      </c>
      <c r="B39" s="18" t="s">
        <v>60</v>
      </c>
      <c r="C39" s="20" t="s">
        <v>231</v>
      </c>
      <c r="D39" s="19" t="s">
        <v>232</v>
      </c>
      <c r="E39" s="20" t="s">
        <v>43</v>
      </c>
      <c r="F39" s="20"/>
      <c r="G39" s="20"/>
      <c r="H39" s="20"/>
      <c r="I39" s="19" t="s">
        <v>573</v>
      </c>
      <c r="J39" s="19" t="s">
        <v>576</v>
      </c>
      <c r="K39" s="19"/>
      <c r="L39" s="19"/>
    </row>
    <row r="40" spans="1:12" ht="51.75" customHeight="1" x14ac:dyDescent="0.25">
      <c r="A40" s="17" t="s">
        <v>234</v>
      </c>
      <c r="B40" s="18" t="s">
        <v>60</v>
      </c>
      <c r="C40" s="20" t="s">
        <v>104</v>
      </c>
      <c r="D40" s="19" t="s">
        <v>235</v>
      </c>
      <c r="E40" s="20" t="s">
        <v>43</v>
      </c>
      <c r="F40" s="20"/>
      <c r="G40" s="20"/>
      <c r="H40" s="20"/>
      <c r="I40" s="19" t="s">
        <v>573</v>
      </c>
      <c r="J40" s="19" t="s">
        <v>576</v>
      </c>
      <c r="K40" s="19"/>
      <c r="L40" s="19"/>
    </row>
    <row r="41" spans="1:12" ht="51.75" customHeight="1" x14ac:dyDescent="0.25">
      <c r="A41" s="17" t="s">
        <v>236</v>
      </c>
      <c r="B41" s="18" t="s">
        <v>60</v>
      </c>
      <c r="C41" s="20" t="s">
        <v>237</v>
      </c>
      <c r="D41" s="19" t="s">
        <v>590</v>
      </c>
      <c r="E41" s="20" t="s">
        <v>239</v>
      </c>
      <c r="F41" s="21">
        <v>0.05</v>
      </c>
      <c r="G41" s="54">
        <v>25</v>
      </c>
      <c r="H41" s="54">
        <v>50</v>
      </c>
      <c r="I41" s="19" t="s">
        <v>579</v>
      </c>
      <c r="J41" s="19" t="s">
        <v>576</v>
      </c>
      <c r="K41" s="19"/>
      <c r="L41" s="19"/>
    </row>
    <row r="42" spans="1:12" ht="51.75" customHeight="1" x14ac:dyDescent="0.25">
      <c r="A42" s="17" t="s">
        <v>244</v>
      </c>
      <c r="B42" s="18" t="s">
        <v>60</v>
      </c>
      <c r="C42" s="20" t="s">
        <v>246</v>
      </c>
      <c r="D42" s="19" t="s">
        <v>247</v>
      </c>
      <c r="E42" s="20" t="s">
        <v>21</v>
      </c>
      <c r="F42" s="21">
        <v>0.31739000000000001</v>
      </c>
      <c r="G42" s="54">
        <v>158.69499999999999</v>
      </c>
      <c r="H42" s="54">
        <v>317.39</v>
      </c>
      <c r="I42" s="19" t="s">
        <v>591</v>
      </c>
      <c r="J42" s="19" t="s">
        <v>576</v>
      </c>
      <c r="K42" s="19"/>
      <c r="L42" s="19"/>
    </row>
    <row r="43" spans="1:12" ht="51.75" customHeight="1" x14ac:dyDescent="0.25">
      <c r="A43" s="17" t="s">
        <v>248</v>
      </c>
      <c r="B43" s="18" t="s">
        <v>60</v>
      </c>
      <c r="C43" s="20" t="s">
        <v>250</v>
      </c>
      <c r="D43" s="19" t="s">
        <v>251</v>
      </c>
      <c r="E43" s="20" t="s">
        <v>43</v>
      </c>
      <c r="F43" s="20"/>
      <c r="G43" s="20"/>
      <c r="H43" s="20"/>
      <c r="I43" s="19" t="s">
        <v>573</v>
      </c>
      <c r="J43" s="19" t="s">
        <v>576</v>
      </c>
      <c r="K43" s="19"/>
      <c r="L43" s="19"/>
    </row>
    <row r="44" spans="1:12" ht="51.75" customHeight="1" x14ac:dyDescent="0.25">
      <c r="A44" s="17" t="s">
        <v>258</v>
      </c>
      <c r="B44" s="18" t="s">
        <v>60</v>
      </c>
      <c r="C44" s="20" t="s">
        <v>260</v>
      </c>
      <c r="D44" s="19" t="s">
        <v>261</v>
      </c>
      <c r="E44" s="20" t="s">
        <v>43</v>
      </c>
      <c r="F44" s="20"/>
      <c r="G44" s="20"/>
      <c r="H44" s="20"/>
      <c r="I44" s="19" t="s">
        <v>573</v>
      </c>
      <c r="J44" s="19" t="s">
        <v>576</v>
      </c>
      <c r="K44" s="19"/>
      <c r="L44" s="19"/>
    </row>
    <row r="45" spans="1:12" ht="51.75" customHeight="1" x14ac:dyDescent="0.25">
      <c r="A45" s="17" t="s">
        <v>263</v>
      </c>
      <c r="B45" s="18" t="s">
        <v>60</v>
      </c>
      <c r="C45" s="20" t="s">
        <v>264</v>
      </c>
      <c r="D45" s="19" t="s">
        <v>265</v>
      </c>
      <c r="E45" s="20" t="s">
        <v>266</v>
      </c>
      <c r="F45" s="21">
        <v>5.2269999999999997E-2</v>
      </c>
      <c r="G45" s="54">
        <v>26.135000000000002</v>
      </c>
      <c r="H45" s="54">
        <v>52.27</v>
      </c>
      <c r="I45" s="19" t="s">
        <v>579</v>
      </c>
      <c r="J45" s="19" t="s">
        <v>576</v>
      </c>
      <c r="K45" s="19"/>
      <c r="L45" s="19"/>
    </row>
  </sheetData>
  <mergeCells count="4">
    <mergeCell ref="A16:L16"/>
    <mergeCell ref="A2:N2"/>
    <mergeCell ref="A4:L4"/>
    <mergeCell ref="A1:N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838F"/>
  </sheetPr>
  <dimension ref="A1:U109"/>
  <sheetViews>
    <sheetView zoomScaleNormal="100" workbookViewId="0">
      <pane xSplit="1" ySplit="3" topLeftCell="B53" activePane="bottomRight" state="frozen"/>
      <selection pane="topRight" activeCell="B1" sqref="B1"/>
      <selection pane="bottomLeft" activeCell="A4" sqref="A4"/>
      <selection pane="bottomRight" activeCell="Q1" sqref="Q1"/>
    </sheetView>
  </sheetViews>
  <sheetFormatPr defaultColWidth="8.7109375" defaultRowHeight="15" x14ac:dyDescent="0.25"/>
  <cols>
    <col min="1" max="1" width="30" customWidth="1"/>
    <col min="2" max="2" width="10" customWidth="1"/>
    <col min="3" max="3" width="16" customWidth="1"/>
    <col min="4" max="4" width="14" customWidth="1"/>
    <col min="5" max="17" width="10" customWidth="1"/>
    <col min="18" max="21" width="24" customWidth="1"/>
  </cols>
  <sheetData>
    <row r="1" spans="1:21" ht="27.75" customHeight="1" x14ac:dyDescent="0.25">
      <c r="A1" s="128" t="s">
        <v>612</v>
      </c>
      <c r="B1" s="112"/>
      <c r="C1" s="112"/>
      <c r="D1" s="112"/>
      <c r="E1" s="112"/>
      <c r="F1" s="112"/>
      <c r="G1" s="112"/>
      <c r="H1" s="112"/>
      <c r="I1" s="112"/>
      <c r="J1" s="112"/>
      <c r="K1" s="112"/>
      <c r="L1" s="112"/>
      <c r="M1" s="112"/>
      <c r="N1" s="112"/>
      <c r="O1" s="112"/>
      <c r="P1" s="112"/>
    </row>
    <row r="2" spans="1:21" ht="21.75" customHeight="1" x14ac:dyDescent="0.25">
      <c r="A2" s="120" t="s">
        <v>613</v>
      </c>
      <c r="B2" s="112"/>
      <c r="C2" s="112"/>
      <c r="D2" s="112"/>
      <c r="E2" s="112"/>
      <c r="F2" s="112"/>
      <c r="G2" s="112"/>
      <c r="H2" s="112"/>
      <c r="I2" s="112"/>
      <c r="J2" s="112"/>
      <c r="K2" s="112"/>
      <c r="L2" s="112"/>
      <c r="M2" s="112"/>
      <c r="N2" s="112"/>
      <c r="O2" s="112"/>
      <c r="P2" s="112"/>
    </row>
    <row r="3" spans="1:21" ht="31.5" customHeight="1" x14ac:dyDescent="0.25">
      <c r="A3" s="7" t="s">
        <v>2</v>
      </c>
      <c r="B3" s="7" t="s">
        <v>3</v>
      </c>
      <c r="C3" s="7" t="s">
        <v>614</v>
      </c>
      <c r="D3" s="7" t="s">
        <v>615</v>
      </c>
      <c r="E3" s="7" t="s">
        <v>527</v>
      </c>
      <c r="F3" s="7" t="s">
        <v>528</v>
      </c>
      <c r="G3" s="7" t="s">
        <v>529</v>
      </c>
      <c r="H3" s="7" t="s">
        <v>530</v>
      </c>
      <c r="I3" s="7" t="s">
        <v>531</v>
      </c>
      <c r="J3" s="7" t="s">
        <v>532</v>
      </c>
      <c r="K3" s="7" t="s">
        <v>533</v>
      </c>
      <c r="L3" s="7" t="s">
        <v>534</v>
      </c>
      <c r="M3" s="7" t="s">
        <v>535</v>
      </c>
      <c r="N3" s="7" t="s">
        <v>536</v>
      </c>
      <c r="O3" s="7" t="s">
        <v>537</v>
      </c>
      <c r="P3" s="7" t="s">
        <v>538</v>
      </c>
      <c r="Q3" s="7" t="s">
        <v>539</v>
      </c>
      <c r="R3" s="7" t="s">
        <v>616</v>
      </c>
      <c r="S3" s="7" t="s">
        <v>617</v>
      </c>
      <c r="T3" s="7" t="s">
        <v>618</v>
      </c>
      <c r="U3" s="7" t="s">
        <v>619</v>
      </c>
    </row>
    <row r="4" spans="1:21" ht="19.5" customHeight="1" x14ac:dyDescent="0.25">
      <c r="A4" s="55" t="s">
        <v>16</v>
      </c>
      <c r="B4" s="56" t="s">
        <v>17</v>
      </c>
      <c r="C4" s="57">
        <v>812338.3</v>
      </c>
      <c r="D4" s="58" t="s">
        <v>19</v>
      </c>
      <c r="E4" s="59">
        <v>0.31664999999999999</v>
      </c>
      <c r="F4" s="58"/>
      <c r="G4" s="58"/>
      <c r="H4" s="60">
        <v>6.7900000000000002E-2</v>
      </c>
      <c r="I4" s="60">
        <v>4.3860000000000003E-2</v>
      </c>
      <c r="J4" s="58"/>
      <c r="K4" s="60">
        <v>1.7809999999999999E-2</v>
      </c>
      <c r="L4" s="60">
        <v>2.4850000000000001E-2</v>
      </c>
      <c r="M4" s="58"/>
      <c r="N4" s="58"/>
      <c r="O4" s="58"/>
      <c r="P4" s="58"/>
      <c r="Q4" s="58"/>
      <c r="R4" s="90" t="s">
        <v>620</v>
      </c>
      <c r="S4" s="90" t="s">
        <v>621</v>
      </c>
      <c r="T4" s="90" t="s">
        <v>622</v>
      </c>
      <c r="U4" s="90"/>
    </row>
    <row r="5" spans="1:21" ht="19.5" customHeight="1" x14ac:dyDescent="0.25">
      <c r="A5" s="55" t="s">
        <v>25</v>
      </c>
      <c r="B5" s="56" t="s">
        <v>17</v>
      </c>
      <c r="C5" s="57">
        <v>150133.74</v>
      </c>
      <c r="D5" s="58" t="s">
        <v>27</v>
      </c>
      <c r="E5" s="60">
        <v>0.01</v>
      </c>
      <c r="F5" s="61">
        <v>0.17885000000000001</v>
      </c>
      <c r="G5" s="59">
        <v>0.29736000000000001</v>
      </c>
      <c r="H5" s="60">
        <v>6.1580000000000003E-2</v>
      </c>
      <c r="I5" s="58"/>
      <c r="J5" s="58"/>
      <c r="K5" s="58"/>
      <c r="L5" s="58"/>
      <c r="M5" s="62">
        <v>-7.9000000000000001E-2</v>
      </c>
      <c r="N5" s="58"/>
      <c r="O5" s="58"/>
      <c r="P5" s="58"/>
      <c r="Q5" s="58"/>
      <c r="R5" s="90" t="s">
        <v>623</v>
      </c>
      <c r="S5" s="90" t="s">
        <v>624</v>
      </c>
      <c r="T5" s="90" t="s">
        <v>625</v>
      </c>
      <c r="U5" s="90" t="s">
        <v>626</v>
      </c>
    </row>
    <row r="6" spans="1:21" ht="19.5" customHeight="1" x14ac:dyDescent="0.25">
      <c r="A6" s="55" t="s">
        <v>32</v>
      </c>
      <c r="B6" s="56" t="s">
        <v>17</v>
      </c>
      <c r="C6" s="57">
        <v>103773.93</v>
      </c>
      <c r="D6" s="58" t="s">
        <v>34</v>
      </c>
      <c r="E6" s="60">
        <v>3.2000000000000001E-2</v>
      </c>
      <c r="F6" s="58"/>
      <c r="G6" s="58"/>
      <c r="H6" s="58"/>
      <c r="I6" s="58"/>
      <c r="J6" s="59">
        <v>0.5</v>
      </c>
      <c r="K6" s="60">
        <v>0.02</v>
      </c>
      <c r="L6" s="60">
        <v>0.02</v>
      </c>
      <c r="M6" s="58"/>
      <c r="N6" s="58"/>
      <c r="O6" s="58"/>
      <c r="P6" s="58"/>
      <c r="Q6" s="58"/>
      <c r="R6" s="90" t="s">
        <v>627</v>
      </c>
      <c r="S6" s="90" t="s">
        <v>628</v>
      </c>
      <c r="T6" s="90" t="s">
        <v>629</v>
      </c>
      <c r="U6" s="90"/>
    </row>
    <row r="7" spans="1:21" ht="19.5" customHeight="1" x14ac:dyDescent="0.25">
      <c r="A7" s="55" t="s">
        <v>286</v>
      </c>
      <c r="B7" s="56" t="s">
        <v>17</v>
      </c>
      <c r="C7" s="63">
        <v>89021.72</v>
      </c>
      <c r="D7" s="58" t="s">
        <v>289</v>
      </c>
      <c r="E7" s="60">
        <v>4.2000000000000003E-2</v>
      </c>
      <c r="F7" s="60">
        <v>0.08</v>
      </c>
      <c r="G7" s="60">
        <v>7.9000000000000001E-2</v>
      </c>
      <c r="H7" s="60">
        <v>6.7000000000000004E-2</v>
      </c>
      <c r="I7" s="60">
        <v>7.4999999999999997E-2</v>
      </c>
      <c r="J7" s="60">
        <v>5.8000000000000003E-2</v>
      </c>
      <c r="K7" s="60">
        <v>3.6999999999999998E-2</v>
      </c>
      <c r="L7" s="60">
        <v>3.9E-2</v>
      </c>
      <c r="M7" s="60">
        <v>5.1999999999999998E-2</v>
      </c>
      <c r="N7" s="62">
        <v>-0.09</v>
      </c>
      <c r="O7" s="60">
        <v>2.3E-2</v>
      </c>
      <c r="P7" s="58"/>
      <c r="Q7" s="60">
        <v>0.02</v>
      </c>
      <c r="R7" s="90" t="s">
        <v>630</v>
      </c>
      <c r="S7" s="90" t="s">
        <v>631</v>
      </c>
      <c r="T7" s="90" t="s">
        <v>632</v>
      </c>
      <c r="U7" s="90"/>
    </row>
    <row r="8" spans="1:21" ht="19.5" customHeight="1" x14ac:dyDescent="0.25">
      <c r="A8" s="55" t="s">
        <v>39</v>
      </c>
      <c r="B8" s="56" t="s">
        <v>17</v>
      </c>
      <c r="C8" s="63">
        <v>99801.11</v>
      </c>
      <c r="D8" s="58" t="s">
        <v>41</v>
      </c>
      <c r="E8" s="58"/>
      <c r="F8" s="60">
        <v>1.4999999999999999E-2</v>
      </c>
      <c r="G8" s="60">
        <v>1.4999999999999999E-2</v>
      </c>
      <c r="H8" s="58"/>
      <c r="I8" s="58"/>
      <c r="J8" s="59">
        <v>0.46755000000000002</v>
      </c>
      <c r="K8" s="58"/>
      <c r="L8" s="58"/>
      <c r="M8" s="60">
        <v>1.4999999999999999E-2</v>
      </c>
      <c r="N8" s="58"/>
      <c r="O8" s="58"/>
      <c r="P8" s="58"/>
      <c r="Q8" s="58"/>
      <c r="R8" s="90" t="s">
        <v>633</v>
      </c>
      <c r="S8" s="90" t="s">
        <v>634</v>
      </c>
      <c r="T8" s="90" t="s">
        <v>635</v>
      </c>
      <c r="U8" s="90"/>
    </row>
    <row r="9" spans="1:21" ht="19.5" customHeight="1" x14ac:dyDescent="0.25">
      <c r="A9" s="55" t="s">
        <v>280</v>
      </c>
      <c r="B9" s="56" t="s">
        <v>17</v>
      </c>
      <c r="C9" s="63">
        <v>59751.88</v>
      </c>
      <c r="D9" s="58" t="s">
        <v>110</v>
      </c>
      <c r="E9" s="58"/>
      <c r="F9" s="61">
        <v>0.17261000000000001</v>
      </c>
      <c r="G9" s="59">
        <v>0.28025</v>
      </c>
      <c r="H9" s="60">
        <v>7.0000000000000007E-2</v>
      </c>
      <c r="I9" s="60">
        <v>9.6479999999999996E-2</v>
      </c>
      <c r="J9" s="58"/>
      <c r="K9" s="58"/>
      <c r="L9" s="58"/>
      <c r="M9" s="62">
        <v>-0.08</v>
      </c>
      <c r="N9" s="58"/>
      <c r="O9" s="58"/>
      <c r="P9" s="58"/>
      <c r="Q9" s="58"/>
      <c r="R9" s="90" t="s">
        <v>636</v>
      </c>
      <c r="S9" s="90" t="s">
        <v>637</v>
      </c>
      <c r="T9" s="90" t="s">
        <v>638</v>
      </c>
      <c r="U9" s="90" t="s">
        <v>639</v>
      </c>
    </row>
    <row r="10" spans="1:21" ht="19.5" customHeight="1" x14ac:dyDescent="0.25">
      <c r="A10" s="55" t="s">
        <v>44</v>
      </c>
      <c r="B10" s="56" t="s">
        <v>17</v>
      </c>
      <c r="C10" s="63">
        <v>8701.73</v>
      </c>
      <c r="D10" s="58" t="s">
        <v>46</v>
      </c>
      <c r="E10" s="64">
        <v>-0.66</v>
      </c>
      <c r="F10" s="60">
        <v>7.5139999999999998E-2</v>
      </c>
      <c r="G10" s="61">
        <v>0.13067000000000001</v>
      </c>
      <c r="H10" s="64">
        <v>-0.23</v>
      </c>
      <c r="I10" s="62">
        <v>-7.0000000000000007E-2</v>
      </c>
      <c r="J10" s="64">
        <v>-0.3</v>
      </c>
      <c r="K10" s="64">
        <v>-0.71799999999999997</v>
      </c>
      <c r="L10" s="64">
        <v>-0.71599999999999997</v>
      </c>
      <c r="M10" s="61">
        <v>0.15332000000000001</v>
      </c>
      <c r="N10" s="61">
        <v>0.17937</v>
      </c>
      <c r="O10" s="64">
        <v>-0.51300000000000001</v>
      </c>
      <c r="P10" s="61">
        <v>0.19395999999999999</v>
      </c>
      <c r="Q10" s="64">
        <v>-0.55800000000000005</v>
      </c>
      <c r="R10" s="91" t="s">
        <v>640</v>
      </c>
      <c r="S10" s="91" t="s">
        <v>641</v>
      </c>
      <c r="T10" s="91" t="s">
        <v>642</v>
      </c>
      <c r="U10" s="91"/>
    </row>
    <row r="11" spans="1:21" ht="19.5" customHeight="1" x14ac:dyDescent="0.25">
      <c r="A11" s="55" t="s">
        <v>49</v>
      </c>
      <c r="B11" s="56" t="s">
        <v>17</v>
      </c>
      <c r="C11" s="63">
        <v>56393.440000000002</v>
      </c>
      <c r="D11" s="58" t="s">
        <v>50</v>
      </c>
      <c r="E11" s="60">
        <v>7.0000000000000007E-2</v>
      </c>
      <c r="F11" s="62">
        <v>-0.02</v>
      </c>
      <c r="G11" s="62">
        <v>-0.02</v>
      </c>
      <c r="H11" s="60">
        <v>0.02</v>
      </c>
      <c r="I11" s="60">
        <v>0.02</v>
      </c>
      <c r="J11" s="62">
        <v>-0.02</v>
      </c>
      <c r="K11" s="59">
        <v>0.21329000000000001</v>
      </c>
      <c r="L11" s="59">
        <v>0.20412</v>
      </c>
      <c r="M11" s="62">
        <v>-0.02</v>
      </c>
      <c r="N11" s="62">
        <v>-0.02</v>
      </c>
      <c r="O11" s="62">
        <v>-0.02</v>
      </c>
      <c r="P11" s="62">
        <v>-0.02</v>
      </c>
      <c r="Q11" s="62">
        <v>-0.02</v>
      </c>
      <c r="R11" s="92" t="s">
        <v>643</v>
      </c>
      <c r="S11" s="92" t="s">
        <v>644</v>
      </c>
      <c r="T11" s="92" t="s">
        <v>645</v>
      </c>
      <c r="U11" s="92"/>
    </row>
    <row r="12" spans="1:21" ht="19.5" customHeight="1" x14ac:dyDescent="0.25">
      <c r="A12" s="55" t="s">
        <v>54</v>
      </c>
      <c r="B12" s="56" t="s">
        <v>17</v>
      </c>
      <c r="C12" s="63">
        <v>84322.9</v>
      </c>
      <c r="D12" s="58" t="s">
        <v>55</v>
      </c>
      <c r="E12" s="58"/>
      <c r="F12" s="62">
        <v>-8.5559999999999997E-2</v>
      </c>
      <c r="G12" s="64">
        <v>-0.13778000000000001</v>
      </c>
      <c r="H12" s="58"/>
      <c r="I12" s="58"/>
      <c r="J12" s="60">
        <v>0.04</v>
      </c>
      <c r="K12" s="58"/>
      <c r="L12" s="58"/>
      <c r="M12" s="64">
        <v>-0.19625000000000001</v>
      </c>
      <c r="N12" s="58"/>
      <c r="O12" s="58"/>
      <c r="P12" s="58"/>
      <c r="Q12" s="58"/>
      <c r="R12" s="90" t="s">
        <v>646</v>
      </c>
      <c r="S12" s="90" t="s">
        <v>647</v>
      </c>
      <c r="T12" s="90" t="s">
        <v>648</v>
      </c>
      <c r="U12" s="90"/>
    </row>
    <row r="13" spans="1:21" ht="19.5" customHeight="1" x14ac:dyDescent="0.25">
      <c r="A13" s="55" t="s">
        <v>64</v>
      </c>
      <c r="B13" s="56" t="s">
        <v>17</v>
      </c>
      <c r="C13" s="63">
        <v>59654.53</v>
      </c>
      <c r="D13" s="58" t="s">
        <v>65</v>
      </c>
      <c r="E13" s="58"/>
      <c r="F13" s="59">
        <v>0.26</v>
      </c>
      <c r="G13" s="62">
        <v>-0.09</v>
      </c>
      <c r="H13" s="60">
        <v>8.6330000000000004E-2</v>
      </c>
      <c r="I13" s="61">
        <v>0.12</v>
      </c>
      <c r="J13" s="58"/>
      <c r="K13" s="58"/>
      <c r="L13" s="58"/>
      <c r="M13" s="62">
        <v>-0.06</v>
      </c>
      <c r="N13" s="58"/>
      <c r="O13" s="58"/>
      <c r="P13" s="58"/>
      <c r="Q13" s="58"/>
      <c r="R13" s="90" t="s">
        <v>649</v>
      </c>
      <c r="S13" s="90" t="s">
        <v>650</v>
      </c>
      <c r="T13" s="90" t="s">
        <v>651</v>
      </c>
      <c r="U13" s="90" t="s">
        <v>652</v>
      </c>
    </row>
    <row r="14" spans="1:21" ht="19.5" customHeight="1" x14ac:dyDescent="0.25">
      <c r="A14" s="55" t="s">
        <v>68</v>
      </c>
      <c r="B14" s="56" t="s">
        <v>17</v>
      </c>
      <c r="C14" s="63">
        <v>31442.57</v>
      </c>
      <c r="D14" s="58" t="s">
        <v>69</v>
      </c>
      <c r="E14" s="60">
        <v>0.1</v>
      </c>
      <c r="F14" s="58"/>
      <c r="G14" s="58"/>
      <c r="H14" s="58"/>
      <c r="I14" s="58"/>
      <c r="J14" s="58"/>
      <c r="K14" s="59">
        <v>0.3</v>
      </c>
      <c r="L14" s="59">
        <v>0.27037</v>
      </c>
      <c r="M14" s="58"/>
      <c r="N14" s="62">
        <v>-0.05</v>
      </c>
      <c r="O14" s="62">
        <v>-0.08</v>
      </c>
      <c r="P14" s="62">
        <v>-0.06</v>
      </c>
      <c r="Q14" s="62">
        <v>-7.0000000000000007E-2</v>
      </c>
      <c r="R14" s="92" t="s">
        <v>653</v>
      </c>
      <c r="S14" s="92" t="s">
        <v>654</v>
      </c>
      <c r="T14" s="92" t="s">
        <v>655</v>
      </c>
      <c r="U14" s="92"/>
    </row>
    <row r="15" spans="1:21" ht="19.5" customHeight="1" x14ac:dyDescent="0.25">
      <c r="A15" s="55" t="s">
        <v>269</v>
      </c>
      <c r="B15" s="56" t="s">
        <v>17</v>
      </c>
      <c r="C15" s="63">
        <v>37951.019999999997</v>
      </c>
      <c r="D15" s="58" t="s">
        <v>271</v>
      </c>
      <c r="E15" s="58"/>
      <c r="F15" s="59">
        <v>0.21815999999999999</v>
      </c>
      <c r="G15" s="59">
        <v>0.32385999999999998</v>
      </c>
      <c r="H15" s="60">
        <v>7.0000000000000007E-2</v>
      </c>
      <c r="I15" s="60">
        <v>7.0000000000000007E-2</v>
      </c>
      <c r="J15" s="58"/>
      <c r="K15" s="58"/>
      <c r="L15" s="58"/>
      <c r="M15" s="62">
        <v>-7.0000000000000007E-2</v>
      </c>
      <c r="N15" s="58"/>
      <c r="O15" s="58"/>
      <c r="P15" s="58"/>
      <c r="Q15" s="58"/>
      <c r="R15" s="90" t="s">
        <v>656</v>
      </c>
      <c r="S15" s="90" t="s">
        <v>657</v>
      </c>
      <c r="T15" s="90" t="s">
        <v>658</v>
      </c>
      <c r="U15" s="90" t="s">
        <v>659</v>
      </c>
    </row>
    <row r="16" spans="1:21" ht="19.5" customHeight="1" x14ac:dyDescent="0.25">
      <c r="A16" s="55" t="s">
        <v>85</v>
      </c>
      <c r="B16" s="56" t="s">
        <v>17</v>
      </c>
      <c r="C16" s="63">
        <v>33325.75</v>
      </c>
      <c r="D16" s="58" t="s">
        <v>86</v>
      </c>
      <c r="E16" s="60">
        <v>0.05</v>
      </c>
      <c r="F16" s="62">
        <v>-9.4E-2</v>
      </c>
      <c r="G16" s="62">
        <v>-4.3999999999999997E-2</v>
      </c>
      <c r="H16" s="59">
        <v>0.40350000000000003</v>
      </c>
      <c r="I16" s="64">
        <v>-0.26140000000000002</v>
      </c>
      <c r="J16" s="58"/>
      <c r="K16" s="58"/>
      <c r="L16" s="58"/>
      <c r="M16" s="58"/>
      <c r="N16" s="58"/>
      <c r="O16" s="58"/>
      <c r="P16" s="58"/>
      <c r="Q16" s="58"/>
      <c r="R16" s="90" t="s">
        <v>660</v>
      </c>
      <c r="S16" s="90" t="s">
        <v>661</v>
      </c>
      <c r="T16" s="90" t="s">
        <v>662</v>
      </c>
      <c r="U16" s="90"/>
    </row>
    <row r="17" spans="1:21" ht="19.5" customHeight="1" x14ac:dyDescent="0.25">
      <c r="A17" s="55" t="s">
        <v>275</v>
      </c>
      <c r="B17" s="56" t="s">
        <v>17</v>
      </c>
      <c r="C17" s="63">
        <v>32240.3</v>
      </c>
      <c r="D17" s="58" t="s">
        <v>156</v>
      </c>
      <c r="E17" s="58"/>
      <c r="F17" s="60">
        <v>0.1</v>
      </c>
      <c r="G17" s="61">
        <v>0.11</v>
      </c>
      <c r="H17" s="60">
        <v>7.0000000000000007E-2</v>
      </c>
      <c r="I17" s="60">
        <v>0.09</v>
      </c>
      <c r="J17" s="58"/>
      <c r="K17" s="62">
        <v>-0.04</v>
      </c>
      <c r="L17" s="62">
        <v>-0.04</v>
      </c>
      <c r="M17" s="61">
        <v>0.11</v>
      </c>
      <c r="N17" s="58"/>
      <c r="O17" s="62">
        <v>-0.06</v>
      </c>
      <c r="P17" s="62">
        <v>-7.3999999999999996E-2</v>
      </c>
      <c r="Q17" s="62">
        <v>-6.5000000000000002E-2</v>
      </c>
      <c r="R17" s="92" t="s">
        <v>663</v>
      </c>
      <c r="S17" s="92" t="s">
        <v>664</v>
      </c>
      <c r="T17" s="92" t="s">
        <v>665</v>
      </c>
      <c r="U17" s="92"/>
    </row>
    <row r="18" spans="1:21" ht="19.5" customHeight="1" x14ac:dyDescent="0.25">
      <c r="A18" s="55" t="s">
        <v>90</v>
      </c>
      <c r="B18" s="56" t="s">
        <v>17</v>
      </c>
      <c r="C18" s="63">
        <v>30989.79</v>
      </c>
      <c r="D18" s="58" t="s">
        <v>50</v>
      </c>
      <c r="E18" s="60">
        <v>0.08</v>
      </c>
      <c r="F18" s="58"/>
      <c r="G18" s="58"/>
      <c r="H18" s="58"/>
      <c r="I18" s="58"/>
      <c r="J18" s="58"/>
      <c r="K18" s="59">
        <v>0.21299999999999999</v>
      </c>
      <c r="L18" s="61">
        <v>0.2</v>
      </c>
      <c r="M18" s="58"/>
      <c r="N18" s="58"/>
      <c r="O18" s="58"/>
      <c r="P18" s="58"/>
      <c r="Q18" s="58"/>
      <c r="R18" s="90" t="s">
        <v>666</v>
      </c>
      <c r="S18" s="90" t="s">
        <v>667</v>
      </c>
      <c r="T18" s="90" t="s">
        <v>668</v>
      </c>
      <c r="U18" s="90"/>
    </row>
    <row r="19" spans="1:21" ht="19.5" customHeight="1" x14ac:dyDescent="0.25">
      <c r="A19" s="55" t="s">
        <v>93</v>
      </c>
      <c r="B19" s="56" t="s">
        <v>17</v>
      </c>
      <c r="C19" s="63">
        <v>18780.080000000002</v>
      </c>
      <c r="D19" s="58" t="s">
        <v>95</v>
      </c>
      <c r="E19" s="58"/>
      <c r="F19" s="58"/>
      <c r="G19" s="58"/>
      <c r="H19" s="58"/>
      <c r="I19" s="58"/>
      <c r="J19" s="64">
        <v>-0.5</v>
      </c>
      <c r="K19" s="58"/>
      <c r="L19" s="58"/>
      <c r="M19" s="58"/>
      <c r="N19" s="58"/>
      <c r="O19" s="58"/>
      <c r="P19" s="58"/>
      <c r="Q19" s="58"/>
      <c r="R19" s="90" t="s">
        <v>669</v>
      </c>
      <c r="S19" s="90" t="s">
        <v>43</v>
      </c>
      <c r="T19" s="90" t="s">
        <v>670</v>
      </c>
      <c r="U19" s="90"/>
    </row>
    <row r="20" spans="1:21" ht="19.5" customHeight="1" x14ac:dyDescent="0.25">
      <c r="A20" s="55" t="s">
        <v>100</v>
      </c>
      <c r="B20" s="56" t="s">
        <v>101</v>
      </c>
      <c r="C20" s="58">
        <v>0</v>
      </c>
      <c r="D20" s="58"/>
      <c r="E20" s="58"/>
      <c r="F20" s="58"/>
      <c r="G20" s="58"/>
      <c r="H20" s="58"/>
      <c r="I20" s="58"/>
      <c r="J20" s="58"/>
      <c r="K20" s="58"/>
      <c r="L20" s="58"/>
      <c r="M20" s="58"/>
      <c r="N20" s="58"/>
      <c r="O20" s="58"/>
      <c r="P20" s="58"/>
      <c r="Q20" s="58"/>
    </row>
    <row r="21" spans="1:21" ht="19.5" customHeight="1" x14ac:dyDescent="0.25">
      <c r="A21" s="65" t="s">
        <v>103</v>
      </c>
      <c r="B21" s="66" t="s">
        <v>60</v>
      </c>
      <c r="C21" s="67">
        <v>23033.53</v>
      </c>
      <c r="D21" s="68" t="s">
        <v>104</v>
      </c>
      <c r="E21" s="68"/>
      <c r="F21" s="59">
        <v>0.76981999999999995</v>
      </c>
      <c r="G21" s="61">
        <v>0.17244999999999999</v>
      </c>
      <c r="H21" s="69">
        <v>-0.09</v>
      </c>
      <c r="I21" s="64">
        <v>-0.11600000000000001</v>
      </c>
      <c r="J21" s="68"/>
      <c r="K21" s="68"/>
      <c r="L21" s="68"/>
      <c r="M21" s="68"/>
      <c r="N21" s="68"/>
      <c r="O21" s="68"/>
      <c r="P21" s="68"/>
      <c r="Q21" s="68"/>
      <c r="R21" s="93" t="s">
        <v>43</v>
      </c>
      <c r="S21" s="93" t="s">
        <v>43</v>
      </c>
      <c r="T21" s="93" t="s">
        <v>671</v>
      </c>
      <c r="U21" s="93"/>
    </row>
    <row r="22" spans="1:21" ht="19.5" customHeight="1" x14ac:dyDescent="0.25">
      <c r="A22" s="65" t="s">
        <v>108</v>
      </c>
      <c r="B22" s="66" t="s">
        <v>60</v>
      </c>
      <c r="C22" s="70">
        <v>134306.39000000001</v>
      </c>
      <c r="D22" s="68" t="s">
        <v>110</v>
      </c>
      <c r="E22" s="68"/>
      <c r="F22" s="68"/>
      <c r="G22" s="68"/>
      <c r="H22" s="68"/>
      <c r="I22" s="68"/>
      <c r="J22" s="68"/>
      <c r="K22" s="68"/>
      <c r="L22" s="68"/>
      <c r="M22" s="68"/>
      <c r="N22" s="68"/>
      <c r="O22" s="61">
        <v>0.17348</v>
      </c>
      <c r="P22" s="68"/>
      <c r="Q22" s="68"/>
      <c r="R22" s="93" t="s">
        <v>672</v>
      </c>
      <c r="S22" s="93" t="s">
        <v>673</v>
      </c>
      <c r="T22" s="93" t="s">
        <v>674</v>
      </c>
      <c r="U22" s="93"/>
    </row>
    <row r="23" spans="1:21" ht="19.5" customHeight="1" x14ac:dyDescent="0.25">
      <c r="A23" s="65" t="s">
        <v>79</v>
      </c>
      <c r="B23" s="66" t="s">
        <v>60</v>
      </c>
      <c r="C23" s="67">
        <v>33834.400000000001</v>
      </c>
      <c r="D23" s="68" t="s">
        <v>81</v>
      </c>
      <c r="E23" s="68"/>
      <c r="F23" s="69">
        <v>-8.5000000000000006E-2</v>
      </c>
      <c r="G23" s="69">
        <v>-9.4619999999999996E-2</v>
      </c>
      <c r="H23" s="69">
        <v>-0.05</v>
      </c>
      <c r="I23" s="69">
        <v>-7.0000000000000007E-2</v>
      </c>
      <c r="J23" s="68"/>
      <c r="K23" s="68"/>
      <c r="L23" s="68"/>
      <c r="M23" s="64">
        <v>-0.11296</v>
      </c>
      <c r="N23" s="71">
        <v>9.5699999999999993E-2</v>
      </c>
      <c r="O23" s="68"/>
      <c r="P23" s="68"/>
      <c r="Q23" s="68"/>
      <c r="R23" s="93" t="s">
        <v>675</v>
      </c>
      <c r="S23" s="93" t="s">
        <v>676</v>
      </c>
      <c r="T23" s="93" t="s">
        <v>677</v>
      </c>
      <c r="U23" s="93"/>
    </row>
    <row r="24" spans="1:21" ht="19.5" customHeight="1" x14ac:dyDescent="0.25">
      <c r="A24" s="65" t="s">
        <v>59</v>
      </c>
      <c r="B24" s="66" t="s">
        <v>60</v>
      </c>
      <c r="C24" s="67">
        <v>49238.51</v>
      </c>
      <c r="D24" s="68" t="s">
        <v>61</v>
      </c>
      <c r="E24" s="59">
        <v>0.30569000000000002</v>
      </c>
      <c r="F24" s="68"/>
      <c r="G24" s="68"/>
      <c r="H24" s="68"/>
      <c r="I24" s="68"/>
      <c r="J24" s="68"/>
      <c r="K24" s="68"/>
      <c r="L24" s="68"/>
      <c r="M24" s="68"/>
      <c r="N24" s="68"/>
      <c r="O24" s="68"/>
      <c r="P24" s="68"/>
      <c r="Q24" s="68"/>
      <c r="R24" s="93" t="s">
        <v>678</v>
      </c>
      <c r="S24" s="93" t="s">
        <v>679</v>
      </c>
      <c r="T24" s="93" t="s">
        <v>680</v>
      </c>
      <c r="U24" s="93"/>
    </row>
    <row r="25" spans="1:21" ht="19.5" customHeight="1" x14ac:dyDescent="0.25">
      <c r="A25" s="65" t="s">
        <v>113</v>
      </c>
      <c r="B25" s="66" t="s">
        <v>60</v>
      </c>
      <c r="C25" s="70">
        <v>266579.96000000002</v>
      </c>
      <c r="D25" s="68" t="s">
        <v>114</v>
      </c>
      <c r="E25" s="71">
        <v>1.044E-2</v>
      </c>
      <c r="F25" s="68"/>
      <c r="G25" s="68"/>
      <c r="H25" s="71">
        <v>5.7400000000000003E-3</v>
      </c>
      <c r="I25" s="68"/>
      <c r="J25" s="68"/>
      <c r="K25" s="71">
        <v>1.5939999999999999E-2</v>
      </c>
      <c r="L25" s="71">
        <v>1.487E-2</v>
      </c>
      <c r="M25" s="68"/>
      <c r="N25" s="68"/>
      <c r="O25" s="68"/>
      <c r="P25" s="68"/>
      <c r="Q25" s="68"/>
      <c r="R25" s="93" t="s">
        <v>681</v>
      </c>
      <c r="S25" s="93" t="s">
        <v>682</v>
      </c>
      <c r="T25" s="93" t="s">
        <v>683</v>
      </c>
      <c r="U25" s="93"/>
    </row>
    <row r="26" spans="1:21" ht="19.5" customHeight="1" x14ac:dyDescent="0.25">
      <c r="A26" s="65" t="s">
        <v>73</v>
      </c>
      <c r="B26" s="66" t="s">
        <v>60</v>
      </c>
      <c r="C26" s="67">
        <v>14861.86</v>
      </c>
      <c r="D26" s="68" t="s">
        <v>156</v>
      </c>
      <c r="E26" s="68"/>
      <c r="F26" s="68"/>
      <c r="G26" s="68"/>
      <c r="H26" s="68"/>
      <c r="I26" s="68"/>
      <c r="J26" s="68"/>
      <c r="K26" s="68"/>
      <c r="L26" s="68"/>
      <c r="M26" s="68"/>
      <c r="N26" s="68"/>
      <c r="O26" s="68"/>
      <c r="P26" s="68"/>
      <c r="Q26" s="59">
        <v>0.78681999999999996</v>
      </c>
      <c r="R26" s="94" t="s">
        <v>43</v>
      </c>
      <c r="S26" s="94" t="s">
        <v>684</v>
      </c>
      <c r="T26" s="94" t="s">
        <v>43</v>
      </c>
      <c r="U26" s="94" t="s">
        <v>685</v>
      </c>
    </row>
    <row r="27" spans="1:21" ht="19.5" customHeight="1" x14ac:dyDescent="0.25">
      <c r="A27" s="65" t="s">
        <v>118</v>
      </c>
      <c r="B27" s="66" t="s">
        <v>60</v>
      </c>
      <c r="C27" s="67">
        <v>57961.31</v>
      </c>
      <c r="D27" s="68" t="s">
        <v>120</v>
      </c>
      <c r="E27" s="68"/>
      <c r="F27" s="69">
        <v>-0.05</v>
      </c>
      <c r="G27" s="68"/>
      <c r="H27" s="69">
        <v>-0.06</v>
      </c>
      <c r="I27" s="69">
        <v>-6.4000000000000001E-2</v>
      </c>
      <c r="J27" s="68"/>
      <c r="K27" s="68"/>
      <c r="L27" s="68"/>
      <c r="M27" s="68"/>
      <c r="N27" s="68"/>
      <c r="O27" s="68"/>
      <c r="P27" s="68"/>
      <c r="Q27" s="68"/>
      <c r="R27" s="93" t="s">
        <v>43</v>
      </c>
      <c r="S27" s="93" t="s">
        <v>43</v>
      </c>
      <c r="T27" s="93" t="s">
        <v>43</v>
      </c>
      <c r="U27" s="93"/>
    </row>
    <row r="28" spans="1:21" ht="19.5" customHeight="1" x14ac:dyDescent="0.25">
      <c r="A28" s="65" t="s">
        <v>123</v>
      </c>
      <c r="B28" s="66" t="s">
        <v>60</v>
      </c>
      <c r="C28" s="67">
        <v>20645.72</v>
      </c>
      <c r="D28" s="68" t="s">
        <v>19</v>
      </c>
      <c r="E28" s="71">
        <v>0.09</v>
      </c>
      <c r="F28" s="68"/>
      <c r="G28" s="68"/>
      <c r="H28" s="68"/>
      <c r="I28" s="68"/>
      <c r="J28" s="68"/>
      <c r="K28" s="61">
        <v>0.15659999999999999</v>
      </c>
      <c r="L28" s="61">
        <v>0.13739999999999999</v>
      </c>
      <c r="M28" s="68"/>
      <c r="N28" s="68"/>
      <c r="O28" s="68"/>
      <c r="P28" s="69">
        <v>-0.04</v>
      </c>
      <c r="Q28" s="69">
        <v>-0.06</v>
      </c>
      <c r="R28" s="95" t="s">
        <v>686</v>
      </c>
      <c r="S28" s="95" t="s">
        <v>687</v>
      </c>
      <c r="T28" s="95" t="s">
        <v>43</v>
      </c>
      <c r="U28" s="95"/>
    </row>
    <row r="29" spans="1:21" ht="19.5" customHeight="1" x14ac:dyDescent="0.25">
      <c r="A29" s="65" t="s">
        <v>128</v>
      </c>
      <c r="B29" s="66" t="s">
        <v>60</v>
      </c>
      <c r="C29" s="67">
        <v>14200.33</v>
      </c>
      <c r="D29" s="68" t="s">
        <v>129</v>
      </c>
      <c r="E29" s="69">
        <v>-7.0000000000000007E-2</v>
      </c>
      <c r="F29" s="71">
        <v>0.09</v>
      </c>
      <c r="G29" s="68"/>
      <c r="H29" s="59">
        <v>0.32323000000000002</v>
      </c>
      <c r="I29" s="59">
        <v>0.21</v>
      </c>
      <c r="J29" s="68"/>
      <c r="K29" s="68"/>
      <c r="L29" s="68"/>
      <c r="M29" s="68"/>
      <c r="N29" s="68"/>
      <c r="O29" s="68"/>
      <c r="P29" s="68"/>
      <c r="Q29" s="68"/>
      <c r="R29" s="93" t="s">
        <v>688</v>
      </c>
      <c r="S29" s="93" t="s">
        <v>43</v>
      </c>
      <c r="T29" s="93" t="s">
        <v>689</v>
      </c>
      <c r="U29" s="93"/>
    </row>
    <row r="30" spans="1:21" ht="19.5" customHeight="1" x14ac:dyDescent="0.25">
      <c r="A30" s="65" t="s">
        <v>133</v>
      </c>
      <c r="B30" s="66" t="s">
        <v>60</v>
      </c>
      <c r="C30" s="67">
        <v>26156.41</v>
      </c>
      <c r="D30" s="68" t="s">
        <v>135</v>
      </c>
      <c r="E30" s="68"/>
      <c r="F30" s="69">
        <v>-9.1999999999999998E-2</v>
      </c>
      <c r="G30" s="69">
        <v>-5.3400000000000003E-2</v>
      </c>
      <c r="H30" s="69">
        <v>-8.7999999999999995E-2</v>
      </c>
      <c r="I30" s="69">
        <v>-9.8000000000000004E-2</v>
      </c>
      <c r="J30" s="68"/>
      <c r="K30" s="68"/>
      <c r="L30" s="68"/>
      <c r="M30" s="68"/>
      <c r="N30" s="68"/>
      <c r="O30" s="68"/>
      <c r="P30" s="68"/>
      <c r="Q30" s="68"/>
      <c r="R30" s="93" t="s">
        <v>43</v>
      </c>
      <c r="S30" s="93" t="s">
        <v>43</v>
      </c>
      <c r="T30" s="93" t="s">
        <v>690</v>
      </c>
      <c r="U30" s="93"/>
    </row>
    <row r="31" spans="1:21" ht="19.5" customHeight="1" x14ac:dyDescent="0.25">
      <c r="A31" s="65" t="s">
        <v>138</v>
      </c>
      <c r="B31" s="66" t="s">
        <v>60</v>
      </c>
      <c r="C31" s="67">
        <v>32915.57</v>
      </c>
      <c r="D31" s="68" t="s">
        <v>140</v>
      </c>
      <c r="E31" s="68"/>
      <c r="F31" s="68"/>
      <c r="G31" s="68"/>
      <c r="H31" s="68"/>
      <c r="I31" s="68"/>
      <c r="J31" s="59">
        <v>0.251</v>
      </c>
      <c r="K31" s="68"/>
      <c r="L31" s="68"/>
      <c r="M31" s="68"/>
      <c r="N31" s="68"/>
      <c r="O31" s="68"/>
      <c r="P31" s="68"/>
      <c r="Q31" s="68"/>
      <c r="R31" s="93" t="s">
        <v>691</v>
      </c>
      <c r="S31" s="93" t="s">
        <v>692</v>
      </c>
      <c r="T31" s="93" t="s">
        <v>693</v>
      </c>
      <c r="U31" s="93"/>
    </row>
    <row r="32" spans="1:21" ht="19.5" customHeight="1" x14ac:dyDescent="0.25">
      <c r="A32" s="65" t="s">
        <v>143</v>
      </c>
      <c r="B32" s="66" t="s">
        <v>60</v>
      </c>
      <c r="C32" s="67">
        <v>42121</v>
      </c>
      <c r="D32" s="68" t="s">
        <v>145</v>
      </c>
      <c r="E32" s="69">
        <v>-0.05</v>
      </c>
      <c r="F32" s="68"/>
      <c r="G32" s="68"/>
      <c r="H32" s="68"/>
      <c r="I32" s="68"/>
      <c r="J32" s="68"/>
      <c r="K32" s="69">
        <v>-4.8000000000000001E-2</v>
      </c>
      <c r="L32" s="69">
        <v>-4.8000000000000001E-2</v>
      </c>
      <c r="M32" s="68"/>
      <c r="N32" s="68"/>
      <c r="O32" s="69">
        <v>-0.04</v>
      </c>
      <c r="P32" s="68"/>
      <c r="Q32" s="68"/>
      <c r="R32" s="93" t="s">
        <v>694</v>
      </c>
      <c r="S32" s="93" t="s">
        <v>695</v>
      </c>
      <c r="T32" s="93" t="s">
        <v>696</v>
      </c>
      <c r="U32" s="93"/>
    </row>
    <row r="33" spans="1:21" ht="19.5" customHeight="1" x14ac:dyDescent="0.25">
      <c r="A33" s="65" t="s">
        <v>148</v>
      </c>
      <c r="B33" s="66" t="s">
        <v>60</v>
      </c>
      <c r="C33" s="67">
        <v>20889.84</v>
      </c>
      <c r="D33" s="68" t="s">
        <v>150</v>
      </c>
      <c r="E33" s="68"/>
      <c r="F33" s="69">
        <v>-5.2999999999999999E-2</v>
      </c>
      <c r="G33" s="69">
        <v>-5.6000000000000001E-2</v>
      </c>
      <c r="H33" s="68"/>
      <c r="I33" s="69">
        <v>-4.3999999999999997E-2</v>
      </c>
      <c r="J33" s="68"/>
      <c r="K33" s="68"/>
      <c r="L33" s="68"/>
      <c r="M33" s="69">
        <v>-5.6000000000000001E-2</v>
      </c>
      <c r="N33" s="69">
        <v>-0.04</v>
      </c>
      <c r="O33" s="68"/>
      <c r="P33" s="71">
        <v>5.2999999999999999E-2</v>
      </c>
      <c r="Q33" s="71">
        <v>0.05</v>
      </c>
      <c r="R33" s="93" t="s">
        <v>43</v>
      </c>
      <c r="S33" s="93" t="s">
        <v>697</v>
      </c>
      <c r="T33" s="93" t="s">
        <v>698</v>
      </c>
      <c r="U33" s="93"/>
    </row>
    <row r="34" spans="1:21" ht="19.5" customHeight="1" x14ac:dyDescent="0.25">
      <c r="A34" s="65" t="s">
        <v>154</v>
      </c>
      <c r="B34" s="66" t="s">
        <v>60</v>
      </c>
      <c r="C34" s="67">
        <v>18278.189999999999</v>
      </c>
      <c r="D34" s="68" t="s">
        <v>156</v>
      </c>
      <c r="E34" s="68"/>
      <c r="F34" s="68"/>
      <c r="G34" s="68"/>
      <c r="H34" s="68"/>
      <c r="I34" s="68"/>
      <c r="J34" s="59">
        <v>0.39251999999999998</v>
      </c>
      <c r="K34" s="68"/>
      <c r="L34" s="68"/>
      <c r="M34" s="68"/>
      <c r="N34" s="68"/>
      <c r="O34" s="68"/>
      <c r="P34" s="68"/>
      <c r="Q34" s="68"/>
      <c r="R34" s="93" t="s">
        <v>699</v>
      </c>
      <c r="S34" s="93" t="s">
        <v>43</v>
      </c>
      <c r="T34" s="93" t="s">
        <v>43</v>
      </c>
      <c r="U34" s="93"/>
    </row>
    <row r="35" spans="1:21" ht="19.5" customHeight="1" x14ac:dyDescent="0.25">
      <c r="A35" s="65" t="s">
        <v>159</v>
      </c>
      <c r="B35" s="66" t="s">
        <v>60</v>
      </c>
      <c r="C35" s="67">
        <v>8553.5</v>
      </c>
      <c r="D35" s="68" t="s">
        <v>161</v>
      </c>
      <c r="E35" s="61">
        <v>0.11076</v>
      </c>
      <c r="F35" s="68"/>
      <c r="G35" s="68"/>
      <c r="H35" s="71">
        <v>4.58E-2</v>
      </c>
      <c r="I35" s="68"/>
      <c r="J35" s="68"/>
      <c r="K35" s="59">
        <v>0.29043000000000002</v>
      </c>
      <c r="L35" s="59">
        <v>0.23369999999999999</v>
      </c>
      <c r="M35" s="68"/>
      <c r="N35" s="68"/>
      <c r="O35" s="69">
        <v>-5.2499999999999998E-2</v>
      </c>
      <c r="P35" s="69">
        <v>-4.1000000000000002E-2</v>
      </c>
      <c r="Q35" s="69">
        <v>-0.05</v>
      </c>
      <c r="R35" s="95" t="s">
        <v>700</v>
      </c>
      <c r="S35" s="95" t="s">
        <v>701</v>
      </c>
      <c r="T35" s="95" t="s">
        <v>702</v>
      </c>
      <c r="U35" s="95"/>
    </row>
    <row r="36" spans="1:21" ht="19.5" customHeight="1" x14ac:dyDescent="0.25">
      <c r="A36" s="65" t="s">
        <v>165</v>
      </c>
      <c r="B36" s="66" t="s">
        <v>60</v>
      </c>
      <c r="C36" s="67">
        <v>14519.92</v>
      </c>
      <c r="D36" s="68" t="s">
        <v>166</v>
      </c>
      <c r="E36" s="69">
        <v>-0.05</v>
      </c>
      <c r="F36" s="71">
        <v>0.05</v>
      </c>
      <c r="G36" s="68"/>
      <c r="H36" s="59">
        <v>0.22977</v>
      </c>
      <c r="I36" s="61">
        <v>0.14319999999999999</v>
      </c>
      <c r="J36" s="68"/>
      <c r="K36" s="68"/>
      <c r="L36" s="68"/>
      <c r="M36" s="68"/>
      <c r="N36" s="68"/>
      <c r="O36" s="68"/>
      <c r="P36" s="68"/>
      <c r="Q36" s="68"/>
      <c r="R36" s="93" t="s">
        <v>675</v>
      </c>
      <c r="S36" s="93" t="s">
        <v>43</v>
      </c>
      <c r="T36" s="93" t="s">
        <v>703</v>
      </c>
      <c r="U36" s="93"/>
    </row>
    <row r="37" spans="1:21" ht="19.5" customHeight="1" x14ac:dyDescent="0.25">
      <c r="A37" s="65" t="s">
        <v>90</v>
      </c>
      <c r="B37" s="66" t="s">
        <v>60</v>
      </c>
      <c r="C37" s="67">
        <v>30989.79</v>
      </c>
      <c r="D37" s="68" t="s">
        <v>50</v>
      </c>
      <c r="E37" s="71">
        <v>0.08</v>
      </c>
      <c r="F37" s="68"/>
      <c r="G37" s="68"/>
      <c r="H37" s="68"/>
      <c r="I37" s="68"/>
      <c r="J37" s="68"/>
      <c r="K37" s="59">
        <v>0.21299999999999999</v>
      </c>
      <c r="L37" s="61">
        <v>0.2</v>
      </c>
      <c r="M37" s="68"/>
      <c r="N37" s="68"/>
      <c r="O37" s="68"/>
      <c r="P37" s="68"/>
      <c r="Q37" s="68"/>
      <c r="R37" s="93" t="s">
        <v>666</v>
      </c>
      <c r="S37" s="93" t="s">
        <v>667</v>
      </c>
      <c r="T37" s="93" t="s">
        <v>668</v>
      </c>
      <c r="U37" s="93"/>
    </row>
    <row r="38" spans="1:21" ht="19.5" customHeight="1" x14ac:dyDescent="0.25">
      <c r="A38" s="65" t="s">
        <v>172</v>
      </c>
      <c r="B38" s="66" t="s">
        <v>60</v>
      </c>
      <c r="C38" s="67">
        <v>93639.82</v>
      </c>
      <c r="D38" s="68" t="s">
        <v>173</v>
      </c>
      <c r="E38" s="71">
        <v>0.05</v>
      </c>
      <c r="F38" s="68"/>
      <c r="G38" s="68"/>
      <c r="H38" s="71">
        <v>1.4E-2</v>
      </c>
      <c r="I38" s="68"/>
      <c r="J38" s="68"/>
      <c r="K38" s="68"/>
      <c r="L38" s="68"/>
      <c r="M38" s="68"/>
      <c r="N38" s="68"/>
      <c r="O38" s="68"/>
      <c r="P38" s="68"/>
      <c r="Q38" s="68"/>
      <c r="R38" s="93" t="s">
        <v>704</v>
      </c>
      <c r="S38" s="93" t="s">
        <v>705</v>
      </c>
      <c r="T38" s="93" t="s">
        <v>692</v>
      </c>
      <c r="U38" s="93"/>
    </row>
    <row r="39" spans="1:21" ht="19.5" customHeight="1" x14ac:dyDescent="0.25">
      <c r="A39" s="65" t="s">
        <v>176</v>
      </c>
      <c r="B39" s="66" t="s">
        <v>60</v>
      </c>
      <c r="C39" s="67">
        <v>79252.55</v>
      </c>
      <c r="D39" s="68" t="s">
        <v>177</v>
      </c>
      <c r="E39" s="71">
        <v>7.2520000000000001E-2</v>
      </c>
      <c r="F39" s="68"/>
      <c r="G39" s="68"/>
      <c r="H39" s="68"/>
      <c r="I39" s="68"/>
      <c r="J39" s="68"/>
      <c r="K39" s="68"/>
      <c r="L39" s="68"/>
      <c r="M39" s="68"/>
      <c r="N39" s="68"/>
      <c r="O39" s="68"/>
      <c r="P39" s="68"/>
      <c r="Q39" s="68"/>
      <c r="R39" s="93" t="s">
        <v>706</v>
      </c>
      <c r="S39" s="93" t="s">
        <v>707</v>
      </c>
      <c r="T39" s="93" t="s">
        <v>708</v>
      </c>
      <c r="U39" s="93"/>
    </row>
    <row r="40" spans="1:21" ht="19.5" customHeight="1" x14ac:dyDescent="0.25">
      <c r="A40" s="65" t="s">
        <v>181</v>
      </c>
      <c r="B40" s="66" t="s">
        <v>60</v>
      </c>
      <c r="C40" s="70">
        <v>263224.34000000003</v>
      </c>
      <c r="D40" s="68" t="s">
        <v>183</v>
      </c>
      <c r="E40" s="68"/>
      <c r="F40" s="71">
        <v>1.044E-2</v>
      </c>
      <c r="G40" s="68"/>
      <c r="H40" s="68"/>
      <c r="I40" s="71">
        <v>1.044E-2</v>
      </c>
      <c r="J40" s="68"/>
      <c r="K40" s="68"/>
      <c r="L40" s="68"/>
      <c r="M40" s="68"/>
      <c r="N40" s="68"/>
      <c r="O40" s="68"/>
      <c r="P40" s="68"/>
      <c r="Q40" s="68"/>
      <c r="R40" s="93" t="s">
        <v>709</v>
      </c>
      <c r="S40" s="93" t="s">
        <v>710</v>
      </c>
      <c r="T40" s="93" t="s">
        <v>711</v>
      </c>
      <c r="U40" s="93"/>
    </row>
    <row r="41" spans="1:21" ht="19.5" customHeight="1" x14ac:dyDescent="0.25">
      <c r="A41" s="65" t="s">
        <v>186</v>
      </c>
      <c r="B41" s="66" t="s">
        <v>60</v>
      </c>
      <c r="C41" s="67">
        <v>66977.23</v>
      </c>
      <c r="D41" s="68" t="s">
        <v>188</v>
      </c>
      <c r="E41" s="68"/>
      <c r="F41" s="68"/>
      <c r="G41" s="68"/>
      <c r="H41" s="68"/>
      <c r="I41" s="68"/>
      <c r="J41" s="68"/>
      <c r="K41" s="71">
        <v>0.04</v>
      </c>
      <c r="L41" s="71">
        <v>0.04</v>
      </c>
      <c r="M41" s="68"/>
      <c r="N41" s="68"/>
      <c r="O41" s="68"/>
      <c r="P41" s="68"/>
      <c r="Q41" s="68"/>
      <c r="R41" s="93" t="s">
        <v>712</v>
      </c>
      <c r="S41" s="93" t="s">
        <v>713</v>
      </c>
      <c r="T41" s="93" t="s">
        <v>714</v>
      </c>
      <c r="U41" s="93" t="s">
        <v>715</v>
      </c>
    </row>
    <row r="42" spans="1:21" ht="19.5" customHeight="1" x14ac:dyDescent="0.25">
      <c r="A42" s="65" t="s">
        <v>192</v>
      </c>
      <c r="B42" s="66" t="s">
        <v>60</v>
      </c>
      <c r="C42" s="70">
        <v>359570.46</v>
      </c>
      <c r="D42" s="68" t="s">
        <v>50</v>
      </c>
      <c r="E42" s="68"/>
      <c r="F42" s="68"/>
      <c r="G42" s="68"/>
      <c r="H42" s="68"/>
      <c r="I42" s="68"/>
      <c r="J42" s="68"/>
      <c r="K42" s="68"/>
      <c r="L42" s="68"/>
      <c r="M42" s="68"/>
      <c r="N42" s="68"/>
      <c r="O42" s="68"/>
      <c r="P42" s="71">
        <v>1.469E-2</v>
      </c>
      <c r="Q42" s="68"/>
      <c r="R42" s="93" t="s">
        <v>716</v>
      </c>
      <c r="S42" s="93" t="s">
        <v>717</v>
      </c>
      <c r="T42" s="93" t="s">
        <v>718</v>
      </c>
      <c r="U42" s="93"/>
    </row>
    <row r="43" spans="1:21" ht="19.5" customHeight="1" x14ac:dyDescent="0.25">
      <c r="A43" s="65" t="s">
        <v>196</v>
      </c>
      <c r="B43" s="66" t="s">
        <v>60</v>
      </c>
      <c r="C43" s="67">
        <v>8837.7199999999993</v>
      </c>
      <c r="D43" s="68" t="s">
        <v>197</v>
      </c>
      <c r="E43" s="59">
        <v>0.34171000000000001</v>
      </c>
      <c r="F43" s="68"/>
      <c r="G43" s="68"/>
      <c r="H43" s="71">
        <v>9.1869999999999993E-2</v>
      </c>
      <c r="I43" s="71">
        <v>5.7000000000000002E-2</v>
      </c>
      <c r="J43" s="68"/>
      <c r="K43" s="69">
        <v>-2.8000000000000001E-2</v>
      </c>
      <c r="L43" s="69">
        <v>-2.35E-2</v>
      </c>
      <c r="M43" s="68"/>
      <c r="N43" s="68"/>
      <c r="O43" s="68"/>
      <c r="P43" s="68"/>
      <c r="Q43" s="68"/>
      <c r="R43" s="93" t="s">
        <v>719</v>
      </c>
      <c r="S43" s="93" t="s">
        <v>43</v>
      </c>
      <c r="T43" s="93" t="s">
        <v>43</v>
      </c>
      <c r="U43" s="93"/>
    </row>
    <row r="44" spans="1:21" ht="19.5" customHeight="1" x14ac:dyDescent="0.25">
      <c r="A44" s="65" t="s">
        <v>203</v>
      </c>
      <c r="B44" s="66" t="s">
        <v>60</v>
      </c>
      <c r="C44" s="70">
        <v>157434.95000000001</v>
      </c>
      <c r="D44" s="68" t="s">
        <v>204</v>
      </c>
      <c r="E44" s="68"/>
      <c r="F44" s="68"/>
      <c r="G44" s="71">
        <v>1.1379999999999999E-2</v>
      </c>
      <c r="H44" s="68"/>
      <c r="I44" s="68"/>
      <c r="J44" s="68"/>
      <c r="K44" s="68"/>
      <c r="L44" s="68"/>
      <c r="M44" s="71">
        <v>1.8556E-2</v>
      </c>
      <c r="N44" s="68"/>
      <c r="O44" s="68"/>
      <c r="P44" s="68"/>
      <c r="Q44" s="68"/>
      <c r="R44" s="93" t="s">
        <v>720</v>
      </c>
      <c r="S44" s="93" t="s">
        <v>721</v>
      </c>
      <c r="T44" s="93" t="s">
        <v>722</v>
      </c>
      <c r="U44" s="93" t="s">
        <v>723</v>
      </c>
    </row>
    <row r="45" spans="1:21" ht="19.5" customHeight="1" x14ac:dyDescent="0.25">
      <c r="A45" s="65" t="s">
        <v>207</v>
      </c>
      <c r="B45" s="66" t="s">
        <v>60</v>
      </c>
      <c r="C45" s="67">
        <v>25619.24</v>
      </c>
      <c r="D45" s="68" t="s">
        <v>208</v>
      </c>
      <c r="E45" s="68"/>
      <c r="F45" s="68"/>
      <c r="G45" s="68"/>
      <c r="H45" s="68"/>
      <c r="I45" s="68"/>
      <c r="J45" s="68"/>
      <c r="K45" s="68"/>
      <c r="L45" s="68"/>
      <c r="M45" s="68"/>
      <c r="N45" s="61">
        <v>0.18321999999999999</v>
      </c>
      <c r="O45" s="68"/>
      <c r="P45" s="68"/>
      <c r="Q45" s="68"/>
      <c r="R45" s="93" t="s">
        <v>43</v>
      </c>
      <c r="S45" s="93" t="s">
        <v>43</v>
      </c>
      <c r="T45" s="93" t="s">
        <v>43</v>
      </c>
      <c r="U45" s="93"/>
    </row>
    <row r="46" spans="1:21" ht="19.5" customHeight="1" x14ac:dyDescent="0.25">
      <c r="A46" s="65" t="s">
        <v>211</v>
      </c>
      <c r="B46" s="66" t="s">
        <v>60</v>
      </c>
      <c r="C46" s="67">
        <v>4162.67</v>
      </c>
      <c r="D46" s="68" t="s">
        <v>212</v>
      </c>
      <c r="E46" s="68"/>
      <c r="F46" s="64">
        <v>-0.26480999999999999</v>
      </c>
      <c r="G46" s="59">
        <v>0.23807</v>
      </c>
      <c r="H46" s="69">
        <v>-9.4450000000000006E-2</v>
      </c>
      <c r="I46" s="64">
        <v>-0.12963</v>
      </c>
      <c r="J46" s="68"/>
      <c r="K46" s="68"/>
      <c r="L46" s="68"/>
      <c r="M46" s="71">
        <v>7.5999999999999998E-2</v>
      </c>
      <c r="N46" s="68"/>
      <c r="O46" s="68"/>
      <c r="P46" s="68"/>
      <c r="Q46" s="68"/>
      <c r="R46" s="93" t="s">
        <v>43</v>
      </c>
      <c r="S46" s="93" t="s">
        <v>43</v>
      </c>
      <c r="T46" s="93" t="s">
        <v>724</v>
      </c>
      <c r="U46" s="93" t="s">
        <v>725</v>
      </c>
    </row>
    <row r="47" spans="1:21" ht="19.5" customHeight="1" x14ac:dyDescent="0.25">
      <c r="A47" s="65" t="s">
        <v>216</v>
      </c>
      <c r="B47" s="66" t="s">
        <v>60</v>
      </c>
      <c r="C47" s="67">
        <v>21330.38</v>
      </c>
      <c r="D47" s="68" t="s">
        <v>41</v>
      </c>
      <c r="E47" s="68"/>
      <c r="F47" s="68"/>
      <c r="G47" s="68"/>
      <c r="H47" s="68"/>
      <c r="I47" s="68"/>
      <c r="J47" s="68"/>
      <c r="K47" s="68"/>
      <c r="L47" s="68"/>
      <c r="M47" s="61">
        <v>0.15343000000000001</v>
      </c>
      <c r="N47" s="68"/>
      <c r="O47" s="68"/>
      <c r="P47" s="68"/>
      <c r="Q47" s="68"/>
      <c r="R47" s="93" t="s">
        <v>43</v>
      </c>
      <c r="S47" s="93" t="s">
        <v>43</v>
      </c>
      <c r="T47" s="93" t="s">
        <v>690</v>
      </c>
      <c r="U47" s="93"/>
    </row>
    <row r="48" spans="1:21" ht="19.5" customHeight="1" x14ac:dyDescent="0.25">
      <c r="A48" s="65" t="s">
        <v>220</v>
      </c>
      <c r="B48" s="66" t="s">
        <v>60</v>
      </c>
      <c r="C48" s="67">
        <v>3299.99</v>
      </c>
      <c r="D48" s="68" t="s">
        <v>221</v>
      </c>
      <c r="E48" s="68"/>
      <c r="F48" s="64">
        <v>-0.73199999999999998</v>
      </c>
      <c r="G48" s="69">
        <v>-9.0130000000000002E-2</v>
      </c>
      <c r="H48" s="71">
        <v>7.22E-2</v>
      </c>
      <c r="I48" s="68"/>
      <c r="J48" s="68"/>
      <c r="K48" s="68"/>
      <c r="L48" s="68"/>
      <c r="M48" s="69">
        <v>-5.1400000000000001E-2</v>
      </c>
      <c r="N48" s="68"/>
      <c r="O48" s="68"/>
      <c r="P48" s="68"/>
      <c r="Q48" s="68"/>
      <c r="R48" s="93" t="s">
        <v>43</v>
      </c>
      <c r="S48" s="93" t="s">
        <v>43</v>
      </c>
      <c r="T48" s="93" t="s">
        <v>726</v>
      </c>
      <c r="U48" s="93" t="s">
        <v>727</v>
      </c>
    </row>
    <row r="49" spans="1:21" ht="19.5" customHeight="1" x14ac:dyDescent="0.25">
      <c r="A49" s="65" t="s">
        <v>225</v>
      </c>
      <c r="B49" s="66" t="s">
        <v>60</v>
      </c>
      <c r="C49" s="67">
        <v>26713.59</v>
      </c>
      <c r="D49" s="68" t="s">
        <v>212</v>
      </c>
      <c r="E49" s="68"/>
      <c r="F49" s="68"/>
      <c r="G49" s="68"/>
      <c r="H49" s="68"/>
      <c r="I49" s="68"/>
      <c r="J49" s="68"/>
      <c r="K49" s="68"/>
      <c r="L49" s="68"/>
      <c r="M49" s="68"/>
      <c r="N49" s="71">
        <v>9.5149999999999998E-2</v>
      </c>
      <c r="O49" s="68"/>
      <c r="P49" s="68"/>
      <c r="Q49" s="68"/>
      <c r="R49" s="93" t="s">
        <v>690</v>
      </c>
      <c r="S49" s="93" t="s">
        <v>728</v>
      </c>
      <c r="T49" s="93" t="s">
        <v>729</v>
      </c>
      <c r="U49" s="93"/>
    </row>
    <row r="50" spans="1:21" ht="19.5" customHeight="1" x14ac:dyDescent="0.25">
      <c r="A50" s="65" t="s">
        <v>229</v>
      </c>
      <c r="B50" s="66" t="s">
        <v>60</v>
      </c>
      <c r="C50" s="67">
        <v>36478.42</v>
      </c>
      <c r="D50" s="68" t="s">
        <v>231</v>
      </c>
      <c r="E50" s="68"/>
      <c r="F50" s="68"/>
      <c r="G50" s="68"/>
      <c r="H50" s="68"/>
      <c r="I50" s="68"/>
      <c r="J50" s="68"/>
      <c r="K50" s="68"/>
      <c r="L50" s="68"/>
      <c r="M50" s="68"/>
      <c r="N50" s="68"/>
      <c r="O50" s="68"/>
      <c r="P50" s="68"/>
      <c r="Q50" s="69">
        <v>-0.05</v>
      </c>
      <c r="R50" s="95" t="s">
        <v>730</v>
      </c>
      <c r="S50" s="95" t="s">
        <v>731</v>
      </c>
      <c r="T50" s="95" t="s">
        <v>732</v>
      </c>
      <c r="U50" s="95"/>
    </row>
    <row r="51" spans="1:21" ht="19.5" customHeight="1" x14ac:dyDescent="0.25">
      <c r="A51" s="65" t="s">
        <v>234</v>
      </c>
      <c r="B51" s="66" t="s">
        <v>60</v>
      </c>
      <c r="C51" s="67">
        <v>4254.0600000000004</v>
      </c>
      <c r="D51" s="68" t="s">
        <v>104</v>
      </c>
      <c r="E51" s="64">
        <v>-0.24657000000000001</v>
      </c>
      <c r="F51" s="68"/>
      <c r="G51" s="68"/>
      <c r="H51" s="64">
        <v>-0.11282</v>
      </c>
      <c r="I51" s="69">
        <v>-6.8739999999999996E-2</v>
      </c>
      <c r="J51" s="68"/>
      <c r="K51" s="68"/>
      <c r="L51" s="68"/>
      <c r="M51" s="68"/>
      <c r="N51" s="68"/>
      <c r="O51" s="68"/>
      <c r="P51" s="68"/>
      <c r="Q51" s="68"/>
      <c r="R51" s="93" t="s">
        <v>733</v>
      </c>
      <c r="S51" s="93" t="s">
        <v>734</v>
      </c>
      <c r="T51" s="93" t="s">
        <v>43</v>
      </c>
      <c r="U51" s="93" t="s">
        <v>735</v>
      </c>
    </row>
    <row r="52" spans="1:21" ht="19.5" customHeight="1" x14ac:dyDescent="0.25">
      <c r="A52" s="65" t="s">
        <v>236</v>
      </c>
      <c r="B52" s="66" t="s">
        <v>60</v>
      </c>
      <c r="C52" s="67">
        <v>31078.31</v>
      </c>
      <c r="D52" s="68" t="s">
        <v>237</v>
      </c>
      <c r="E52" s="68"/>
      <c r="F52" s="68"/>
      <c r="G52" s="68"/>
      <c r="H52" s="68"/>
      <c r="I52" s="68"/>
      <c r="J52" s="68"/>
      <c r="K52" s="68"/>
      <c r="L52" s="68"/>
      <c r="M52" s="68"/>
      <c r="N52" s="68"/>
      <c r="O52" s="71">
        <v>0.05</v>
      </c>
      <c r="P52" s="68"/>
      <c r="Q52" s="68"/>
      <c r="R52" s="93" t="s">
        <v>688</v>
      </c>
      <c r="S52" s="93" t="s">
        <v>736</v>
      </c>
      <c r="T52" s="93" t="s">
        <v>737</v>
      </c>
      <c r="U52" s="93" t="s">
        <v>738</v>
      </c>
    </row>
    <row r="53" spans="1:21" ht="19.5" customHeight="1" x14ac:dyDescent="0.25">
      <c r="A53" s="65" t="s">
        <v>240</v>
      </c>
      <c r="B53" s="66" t="s">
        <v>60</v>
      </c>
      <c r="C53" s="67">
        <v>3280.03</v>
      </c>
      <c r="D53" s="68" t="s">
        <v>241</v>
      </c>
      <c r="E53" s="68"/>
      <c r="F53" s="69">
        <v>-8.0930000000000002E-2</v>
      </c>
      <c r="G53" s="68"/>
      <c r="H53" s="64">
        <v>-0.20463999999999999</v>
      </c>
      <c r="I53" s="69">
        <v>-8.9349999999999999E-2</v>
      </c>
      <c r="J53" s="68"/>
      <c r="K53" s="68"/>
      <c r="L53" s="68"/>
      <c r="M53" s="68"/>
      <c r="N53" s="68"/>
      <c r="O53" s="68"/>
      <c r="P53" s="68"/>
      <c r="Q53" s="68"/>
      <c r="R53" s="93" t="s">
        <v>43</v>
      </c>
      <c r="S53" s="93" t="s">
        <v>43</v>
      </c>
      <c r="T53" s="93" t="s">
        <v>739</v>
      </c>
      <c r="U53" s="93"/>
    </row>
    <row r="54" spans="1:21" ht="19.5" customHeight="1" x14ac:dyDescent="0.25">
      <c r="A54" s="65" t="s">
        <v>244</v>
      </c>
      <c r="B54" s="66" t="s">
        <v>60</v>
      </c>
      <c r="C54" s="67">
        <v>3322.27</v>
      </c>
      <c r="D54" s="68" t="s">
        <v>246</v>
      </c>
      <c r="E54" s="59">
        <v>0.31739000000000001</v>
      </c>
      <c r="F54" s="68"/>
      <c r="G54" s="68"/>
      <c r="H54" s="68"/>
      <c r="I54" s="68"/>
      <c r="J54" s="68"/>
      <c r="K54" s="68"/>
      <c r="L54" s="68"/>
      <c r="M54" s="68"/>
      <c r="N54" s="68"/>
      <c r="O54" s="68"/>
      <c r="P54" s="68"/>
      <c r="Q54" s="68"/>
      <c r="R54" s="93" t="s">
        <v>740</v>
      </c>
      <c r="S54" s="93" t="s">
        <v>43</v>
      </c>
      <c r="T54" s="93" t="s">
        <v>43</v>
      </c>
      <c r="U54" s="93"/>
    </row>
    <row r="55" spans="1:21" ht="19.5" customHeight="1" x14ac:dyDescent="0.25">
      <c r="A55" s="65" t="s">
        <v>248</v>
      </c>
      <c r="B55" s="66" t="s">
        <v>60</v>
      </c>
      <c r="C55" s="67">
        <v>15846.42</v>
      </c>
      <c r="D55" s="68" t="s">
        <v>250</v>
      </c>
      <c r="E55" s="68"/>
      <c r="F55" s="68"/>
      <c r="G55" s="68"/>
      <c r="H55" s="68"/>
      <c r="I55" s="68"/>
      <c r="J55" s="68"/>
      <c r="K55" s="68"/>
      <c r="L55" s="68"/>
      <c r="M55" s="68"/>
      <c r="N55" s="68"/>
      <c r="O55" s="68"/>
      <c r="P55" s="69">
        <v>-0.05</v>
      </c>
      <c r="Q55" s="68"/>
      <c r="R55" s="93" t="s">
        <v>43</v>
      </c>
      <c r="S55" s="93" t="s">
        <v>741</v>
      </c>
      <c r="T55" s="93" t="s">
        <v>43</v>
      </c>
      <c r="U55" s="93"/>
    </row>
    <row r="56" spans="1:21" ht="19.5" customHeight="1" x14ac:dyDescent="0.25">
      <c r="A56" s="65" t="s">
        <v>253</v>
      </c>
      <c r="B56" s="66" t="s">
        <v>60</v>
      </c>
      <c r="C56" s="67">
        <v>12390.2</v>
      </c>
      <c r="D56" s="68" t="s">
        <v>255</v>
      </c>
      <c r="E56" s="68"/>
      <c r="F56" s="68"/>
      <c r="G56" s="71">
        <v>0.06</v>
      </c>
      <c r="H56" s="68"/>
      <c r="I56" s="68"/>
      <c r="J56" s="68"/>
      <c r="K56" s="68"/>
      <c r="L56" s="68"/>
      <c r="M56" s="68"/>
      <c r="N56" s="68"/>
      <c r="O56" s="68"/>
      <c r="P56" s="68"/>
      <c r="Q56" s="68"/>
      <c r="R56" s="93" t="s">
        <v>43</v>
      </c>
      <c r="S56" s="93" t="s">
        <v>43</v>
      </c>
      <c r="T56" s="93" t="s">
        <v>43</v>
      </c>
      <c r="U56" s="93"/>
    </row>
    <row r="57" spans="1:21" ht="19.5" customHeight="1" x14ac:dyDescent="0.25">
      <c r="A57" s="65" t="s">
        <v>258</v>
      </c>
      <c r="B57" s="66" t="s">
        <v>60</v>
      </c>
      <c r="C57" s="67">
        <v>6622.44</v>
      </c>
      <c r="D57" s="68" t="s">
        <v>260</v>
      </c>
      <c r="E57" s="68"/>
      <c r="F57" s="68"/>
      <c r="G57" s="68"/>
      <c r="H57" s="68"/>
      <c r="I57" s="68"/>
      <c r="J57" s="68"/>
      <c r="K57" s="68"/>
      <c r="L57" s="68"/>
      <c r="M57" s="69">
        <v>-9.1700000000000004E-2</v>
      </c>
      <c r="N57" s="68"/>
      <c r="O57" s="68"/>
      <c r="P57" s="68"/>
      <c r="Q57" s="68"/>
      <c r="R57" s="93" t="s">
        <v>43</v>
      </c>
      <c r="S57" s="93" t="s">
        <v>43</v>
      </c>
      <c r="T57" s="93" t="s">
        <v>742</v>
      </c>
      <c r="U57" s="93"/>
    </row>
    <row r="58" spans="1:21" ht="19.5" customHeight="1" x14ac:dyDescent="0.25">
      <c r="A58" s="65" t="s">
        <v>263</v>
      </c>
      <c r="B58" s="66" t="s">
        <v>60</v>
      </c>
      <c r="C58" s="67">
        <v>4009.58</v>
      </c>
      <c r="D58" s="68" t="s">
        <v>264</v>
      </c>
      <c r="E58" s="68"/>
      <c r="F58" s="68"/>
      <c r="G58" s="68"/>
      <c r="H58" s="68"/>
      <c r="I58" s="68"/>
      <c r="J58" s="68"/>
      <c r="K58" s="68"/>
      <c r="L58" s="68"/>
      <c r="M58" s="68"/>
      <c r="N58" s="68"/>
      <c r="O58" s="68"/>
      <c r="P58" s="71">
        <v>5.2269999999999997E-2</v>
      </c>
      <c r="Q58" s="69">
        <v>-3.4250000000000003E-2</v>
      </c>
      <c r="R58" s="95" t="s">
        <v>743</v>
      </c>
      <c r="S58" s="95" t="s">
        <v>744</v>
      </c>
      <c r="T58" s="95" t="s">
        <v>43</v>
      </c>
      <c r="U58" s="95" t="s">
        <v>745</v>
      </c>
    </row>
    <row r="59" spans="1:21" ht="19.5" customHeight="1" x14ac:dyDescent="0.25">
      <c r="A59" s="72" t="s">
        <v>293</v>
      </c>
      <c r="B59" s="73" t="s">
        <v>287</v>
      </c>
      <c r="C59" s="74">
        <v>294667.84000000003</v>
      </c>
      <c r="D59" s="75" t="s">
        <v>255</v>
      </c>
      <c r="E59" s="76">
        <v>2.3310000000000001E-2</v>
      </c>
      <c r="F59" s="75"/>
      <c r="G59" s="75"/>
      <c r="H59" s="76">
        <v>1.0120000000000001E-2</v>
      </c>
      <c r="I59" s="75"/>
      <c r="J59" s="75"/>
      <c r="K59" s="76">
        <v>5.2400000000000002E-2</v>
      </c>
      <c r="L59" s="76">
        <v>4.4699999999999997E-2</v>
      </c>
      <c r="M59" s="75"/>
      <c r="N59" s="75"/>
      <c r="O59" s="75"/>
      <c r="P59" s="75"/>
      <c r="Q59" s="75"/>
      <c r="R59" s="96" t="s">
        <v>746</v>
      </c>
      <c r="S59" s="96" t="s">
        <v>747</v>
      </c>
      <c r="T59" s="96" t="s">
        <v>748</v>
      </c>
      <c r="U59" s="96"/>
    </row>
    <row r="60" spans="1:21" ht="19.5" customHeight="1" x14ac:dyDescent="0.25">
      <c r="A60" s="72" t="s">
        <v>298</v>
      </c>
      <c r="B60" s="73" t="s">
        <v>287</v>
      </c>
      <c r="C60" s="77">
        <v>54270.9</v>
      </c>
      <c r="D60" s="75" t="s">
        <v>299</v>
      </c>
      <c r="E60" s="75"/>
      <c r="F60" s="75"/>
      <c r="G60" s="75"/>
      <c r="H60" s="75"/>
      <c r="I60" s="75"/>
      <c r="J60" s="75"/>
      <c r="K60" s="64">
        <v>-0.44871</v>
      </c>
      <c r="L60" s="76">
        <v>7.0000000000000007E-2</v>
      </c>
      <c r="M60" s="75"/>
      <c r="N60" s="75"/>
      <c r="O60" s="75"/>
      <c r="P60" s="75"/>
      <c r="Q60" s="75"/>
      <c r="R60" s="96" t="s">
        <v>749</v>
      </c>
      <c r="S60" s="96" t="s">
        <v>750</v>
      </c>
      <c r="T60" s="96" t="s">
        <v>751</v>
      </c>
      <c r="U60" s="96"/>
    </row>
    <row r="61" spans="1:21" ht="19.5" customHeight="1" x14ac:dyDescent="0.25">
      <c r="A61" s="72" t="s">
        <v>303</v>
      </c>
      <c r="B61" s="73" t="s">
        <v>287</v>
      </c>
      <c r="C61" s="77">
        <v>39682.54</v>
      </c>
      <c r="D61" s="75" t="s">
        <v>305</v>
      </c>
      <c r="E61" s="75"/>
      <c r="F61" s="78">
        <v>-0.05</v>
      </c>
      <c r="G61" s="75"/>
      <c r="H61" s="61">
        <v>0.126</v>
      </c>
      <c r="I61" s="61">
        <v>0.19</v>
      </c>
      <c r="J61" s="75"/>
      <c r="K61" s="75"/>
      <c r="L61" s="75"/>
      <c r="M61" s="75"/>
      <c r="N61" s="75"/>
      <c r="O61" s="75"/>
      <c r="P61" s="75"/>
      <c r="Q61" s="75"/>
      <c r="R61" s="96" t="s">
        <v>752</v>
      </c>
      <c r="S61" s="96" t="s">
        <v>753</v>
      </c>
      <c r="T61" s="96" t="s">
        <v>754</v>
      </c>
      <c r="U61" s="96"/>
    </row>
    <row r="62" spans="1:21" ht="19.5" customHeight="1" x14ac:dyDescent="0.25">
      <c r="A62" s="72" t="s">
        <v>309</v>
      </c>
      <c r="B62" s="73" t="s">
        <v>287</v>
      </c>
      <c r="C62" s="77">
        <v>22370.98</v>
      </c>
      <c r="D62" s="75" t="s">
        <v>310</v>
      </c>
      <c r="E62" s="76">
        <v>0.04</v>
      </c>
      <c r="F62" s="78">
        <v>-0.04</v>
      </c>
      <c r="G62" s="78">
        <v>-0.05</v>
      </c>
      <c r="H62" s="75"/>
      <c r="I62" s="75"/>
      <c r="J62" s="75"/>
      <c r="K62" s="76">
        <v>0.04</v>
      </c>
      <c r="L62" s="76">
        <v>0.04</v>
      </c>
      <c r="M62" s="78">
        <v>-0.05</v>
      </c>
      <c r="N62" s="78">
        <v>-0.1</v>
      </c>
      <c r="O62" s="76">
        <v>6.8000000000000005E-2</v>
      </c>
      <c r="P62" s="61">
        <v>0.12873999999999999</v>
      </c>
      <c r="Q62" s="76">
        <v>8.3299999999999999E-2</v>
      </c>
      <c r="R62" s="96" t="s">
        <v>755</v>
      </c>
      <c r="S62" s="96" t="s">
        <v>756</v>
      </c>
      <c r="T62" s="96" t="s">
        <v>757</v>
      </c>
      <c r="U62" s="96"/>
    </row>
    <row r="63" spans="1:21" ht="19.5" customHeight="1" x14ac:dyDescent="0.25">
      <c r="A63" s="72" t="s">
        <v>314</v>
      </c>
      <c r="B63" s="73" t="s">
        <v>287</v>
      </c>
      <c r="C63" s="74">
        <v>101250.18</v>
      </c>
      <c r="D63" s="75" t="s">
        <v>204</v>
      </c>
      <c r="E63" s="75"/>
      <c r="F63" s="75"/>
      <c r="G63" s="75"/>
      <c r="H63" s="75"/>
      <c r="I63" s="75"/>
      <c r="J63" s="75"/>
      <c r="K63" s="75"/>
      <c r="L63" s="75"/>
      <c r="M63" s="75"/>
      <c r="N63" s="75"/>
      <c r="O63" s="61">
        <v>0.13947000000000001</v>
      </c>
      <c r="P63" s="75"/>
      <c r="Q63" s="75"/>
      <c r="R63" s="96" t="s">
        <v>758</v>
      </c>
      <c r="S63" s="96" t="s">
        <v>759</v>
      </c>
      <c r="T63" s="96" t="s">
        <v>760</v>
      </c>
      <c r="U63" s="96"/>
    </row>
    <row r="64" spans="1:21" ht="19.5" customHeight="1" x14ac:dyDescent="0.25">
      <c r="A64" s="72" t="s">
        <v>317</v>
      </c>
      <c r="B64" s="73" t="s">
        <v>287</v>
      </c>
      <c r="C64" s="77">
        <v>80643.09</v>
      </c>
      <c r="D64" s="75" t="s">
        <v>319</v>
      </c>
      <c r="E64" s="78">
        <v>-0.04</v>
      </c>
      <c r="F64" s="75"/>
      <c r="G64" s="75"/>
      <c r="H64" s="75"/>
      <c r="I64" s="75"/>
      <c r="J64" s="75"/>
      <c r="K64" s="78">
        <v>-0.04</v>
      </c>
      <c r="L64" s="78">
        <v>-0.04</v>
      </c>
      <c r="M64" s="76">
        <v>2.1000000000000001E-2</v>
      </c>
      <c r="N64" s="75"/>
      <c r="O64" s="78">
        <v>-0.03</v>
      </c>
      <c r="P64" s="75"/>
      <c r="Q64" s="75"/>
      <c r="R64" s="96" t="s">
        <v>761</v>
      </c>
      <c r="S64" s="96" t="s">
        <v>762</v>
      </c>
      <c r="T64" s="96" t="s">
        <v>763</v>
      </c>
      <c r="U64" s="96"/>
    </row>
    <row r="65" spans="1:21" ht="19.5" customHeight="1" x14ac:dyDescent="0.25">
      <c r="A65" s="72" t="s">
        <v>323</v>
      </c>
      <c r="B65" s="73" t="s">
        <v>287</v>
      </c>
      <c r="C65" s="77">
        <v>15943.21</v>
      </c>
      <c r="D65" s="75" t="s">
        <v>324</v>
      </c>
      <c r="E65" s="75"/>
      <c r="F65" s="76">
        <v>7.1999999999999995E-2</v>
      </c>
      <c r="G65" s="75"/>
      <c r="H65" s="64">
        <v>-0.56000000000000005</v>
      </c>
      <c r="I65" s="61">
        <v>0.19611999999999999</v>
      </c>
      <c r="J65" s="75"/>
      <c r="K65" s="75"/>
      <c r="L65" s="75"/>
      <c r="M65" s="75"/>
      <c r="N65" s="75"/>
      <c r="O65" s="75"/>
      <c r="P65" s="75"/>
      <c r="Q65" s="75"/>
      <c r="R65" s="96" t="s">
        <v>764</v>
      </c>
      <c r="S65" s="96" t="s">
        <v>43</v>
      </c>
      <c r="T65" s="96" t="s">
        <v>765</v>
      </c>
      <c r="U65" s="96"/>
    </row>
    <row r="66" spans="1:21" ht="19.5" customHeight="1" x14ac:dyDescent="0.25">
      <c r="A66" s="72" t="s">
        <v>328</v>
      </c>
      <c r="B66" s="73" t="s">
        <v>287</v>
      </c>
      <c r="C66" s="77">
        <v>69902.77</v>
      </c>
      <c r="D66" s="75" t="s">
        <v>330</v>
      </c>
      <c r="E66" s="78">
        <v>-3.5000000000000003E-2</v>
      </c>
      <c r="F66" s="75"/>
      <c r="G66" s="75"/>
      <c r="H66" s="75"/>
      <c r="I66" s="75"/>
      <c r="J66" s="75"/>
      <c r="K66" s="78">
        <v>-0.04</v>
      </c>
      <c r="L66" s="78">
        <v>-0.04</v>
      </c>
      <c r="M66" s="75"/>
      <c r="N66" s="75"/>
      <c r="O66" s="75"/>
      <c r="P66" s="75"/>
      <c r="Q66" s="78">
        <v>-0.03</v>
      </c>
      <c r="R66" s="97" t="s">
        <v>766</v>
      </c>
      <c r="S66" s="97" t="s">
        <v>767</v>
      </c>
      <c r="T66" s="97" t="s">
        <v>768</v>
      </c>
      <c r="U66" s="97"/>
    </row>
    <row r="67" spans="1:21" ht="19.5" customHeight="1" x14ac:dyDescent="0.25">
      <c r="A67" s="72" t="s">
        <v>333</v>
      </c>
      <c r="B67" s="73" t="s">
        <v>287</v>
      </c>
      <c r="C67" s="77">
        <v>22056.9</v>
      </c>
      <c r="D67" s="75" t="s">
        <v>334</v>
      </c>
      <c r="E67" s="75"/>
      <c r="F67" s="59">
        <v>0.33700000000000002</v>
      </c>
      <c r="G67" s="78">
        <v>-9.8000000000000004E-2</v>
      </c>
      <c r="H67" s="75"/>
      <c r="I67" s="75"/>
      <c r="J67" s="75"/>
      <c r="K67" s="75"/>
      <c r="L67" s="75"/>
      <c r="M67" s="75"/>
      <c r="N67" s="75"/>
      <c r="O67" s="75"/>
      <c r="P67" s="75"/>
      <c r="Q67" s="75"/>
      <c r="R67" s="96" t="s">
        <v>769</v>
      </c>
      <c r="S67" s="96" t="s">
        <v>43</v>
      </c>
      <c r="T67" s="96" t="s">
        <v>43</v>
      </c>
      <c r="U67" s="96"/>
    </row>
    <row r="68" spans="1:21" ht="19.5" customHeight="1" x14ac:dyDescent="0.25">
      <c r="A68" s="72" t="s">
        <v>338</v>
      </c>
      <c r="B68" s="73" t="s">
        <v>287</v>
      </c>
      <c r="C68" s="77">
        <v>12090.77</v>
      </c>
      <c r="D68" s="75" t="s">
        <v>339</v>
      </c>
      <c r="E68" s="75"/>
      <c r="F68" s="64">
        <v>-0.14974999999999999</v>
      </c>
      <c r="G68" s="78">
        <v>-0.06</v>
      </c>
      <c r="H68" s="59">
        <v>0.27526</v>
      </c>
      <c r="I68" s="59">
        <v>0.29992999999999997</v>
      </c>
      <c r="J68" s="75"/>
      <c r="K68" s="75"/>
      <c r="L68" s="75"/>
      <c r="M68" s="75"/>
      <c r="N68" s="75"/>
      <c r="O68" s="75"/>
      <c r="P68" s="75"/>
      <c r="Q68" s="75"/>
      <c r="R68" s="96" t="s">
        <v>769</v>
      </c>
      <c r="S68" s="96" t="s">
        <v>43</v>
      </c>
      <c r="T68" s="96" t="s">
        <v>770</v>
      </c>
      <c r="U68" s="96"/>
    </row>
    <row r="69" spans="1:21" ht="19.5" customHeight="1" x14ac:dyDescent="0.25">
      <c r="A69" s="72" t="s">
        <v>343</v>
      </c>
      <c r="B69" s="73" t="s">
        <v>287</v>
      </c>
      <c r="C69" s="77">
        <v>8226.7800000000007</v>
      </c>
      <c r="D69" s="75" t="s">
        <v>344</v>
      </c>
      <c r="E69" s="75"/>
      <c r="F69" s="75"/>
      <c r="G69" s="75"/>
      <c r="H69" s="75"/>
      <c r="I69" s="75"/>
      <c r="J69" s="75"/>
      <c r="K69" s="75"/>
      <c r="L69" s="75"/>
      <c r="M69" s="64">
        <v>-0.98238999999999999</v>
      </c>
      <c r="N69" s="75"/>
      <c r="O69" s="75"/>
      <c r="P69" s="75"/>
      <c r="Q69" s="75"/>
      <c r="R69" s="96" t="s">
        <v>660</v>
      </c>
      <c r="S69" s="96" t="s">
        <v>660</v>
      </c>
      <c r="T69" s="96" t="s">
        <v>660</v>
      </c>
      <c r="U69" s="96"/>
    </row>
    <row r="70" spans="1:21" ht="19.5" customHeight="1" x14ac:dyDescent="0.25">
      <c r="A70" s="72" t="s">
        <v>347</v>
      </c>
      <c r="B70" s="73" t="s">
        <v>287</v>
      </c>
      <c r="C70" s="77">
        <v>18172.47</v>
      </c>
      <c r="D70" s="75" t="s">
        <v>348</v>
      </c>
      <c r="E70" s="75"/>
      <c r="F70" s="78">
        <v>-9.0999999999999998E-2</v>
      </c>
      <c r="G70" s="78">
        <v>-9.6000000000000002E-2</v>
      </c>
      <c r="H70" s="78">
        <v>-0.06</v>
      </c>
      <c r="I70" s="78">
        <v>-7.6999999999999999E-2</v>
      </c>
      <c r="J70" s="75"/>
      <c r="K70" s="75"/>
      <c r="L70" s="75"/>
      <c r="M70" s="78">
        <v>-0.1</v>
      </c>
      <c r="N70" s="75"/>
      <c r="O70" s="75"/>
      <c r="P70" s="75"/>
      <c r="Q70" s="75"/>
      <c r="R70" s="96" t="s">
        <v>743</v>
      </c>
      <c r="S70" s="96" t="s">
        <v>43</v>
      </c>
      <c r="T70" s="96" t="s">
        <v>771</v>
      </c>
      <c r="U70" s="96"/>
    </row>
    <row r="71" spans="1:21" ht="19.5" customHeight="1" x14ac:dyDescent="0.25">
      <c r="A71" s="72" t="s">
        <v>351</v>
      </c>
      <c r="B71" s="73" t="s">
        <v>287</v>
      </c>
      <c r="C71" s="77">
        <v>24101.09</v>
      </c>
      <c r="D71" s="75" t="s">
        <v>212</v>
      </c>
      <c r="E71" s="75"/>
      <c r="F71" s="78">
        <v>-5.6899999999999999E-2</v>
      </c>
      <c r="G71" s="78">
        <v>-0.06</v>
      </c>
      <c r="H71" s="78">
        <v>-3.6999999999999998E-2</v>
      </c>
      <c r="I71" s="78">
        <v>-4.7E-2</v>
      </c>
      <c r="J71" s="78">
        <v>-4.1000000000000002E-2</v>
      </c>
      <c r="K71" s="75"/>
      <c r="L71" s="75"/>
      <c r="M71" s="78">
        <v>-0.06</v>
      </c>
      <c r="N71" s="75"/>
      <c r="O71" s="75"/>
      <c r="P71" s="75"/>
      <c r="Q71" s="75"/>
      <c r="R71" s="96" t="s">
        <v>43</v>
      </c>
      <c r="S71" s="96" t="s">
        <v>772</v>
      </c>
      <c r="T71" s="96" t="s">
        <v>773</v>
      </c>
      <c r="U71" s="96"/>
    </row>
    <row r="72" spans="1:21" ht="19.5" customHeight="1" x14ac:dyDescent="0.25">
      <c r="A72" s="72" t="s">
        <v>354</v>
      </c>
      <c r="B72" s="73" t="s">
        <v>287</v>
      </c>
      <c r="C72" s="77">
        <v>13573.27</v>
      </c>
      <c r="D72" s="75" t="s">
        <v>61</v>
      </c>
      <c r="E72" s="75"/>
      <c r="F72" s="75"/>
      <c r="G72" s="75"/>
      <c r="H72" s="75"/>
      <c r="I72" s="75"/>
      <c r="J72" s="75"/>
      <c r="K72" s="75"/>
      <c r="L72" s="75"/>
      <c r="M72" s="75"/>
      <c r="N72" s="75"/>
      <c r="O72" s="75"/>
      <c r="P72" s="75"/>
      <c r="Q72" s="59">
        <v>0.47599999999999998</v>
      </c>
      <c r="R72" s="94" t="s">
        <v>43</v>
      </c>
      <c r="S72" s="94" t="s">
        <v>43</v>
      </c>
      <c r="T72" s="94" t="s">
        <v>43</v>
      </c>
      <c r="U72" s="94"/>
    </row>
    <row r="73" spans="1:21" ht="19.5" customHeight="1" x14ac:dyDescent="0.25">
      <c r="A73" s="72" t="s">
        <v>357</v>
      </c>
      <c r="B73" s="73" t="s">
        <v>287</v>
      </c>
      <c r="C73" s="77">
        <v>89022.35</v>
      </c>
      <c r="D73" s="75" t="s">
        <v>359</v>
      </c>
      <c r="E73" s="76">
        <v>0.06</v>
      </c>
      <c r="F73" s="75"/>
      <c r="G73" s="75"/>
      <c r="H73" s="75"/>
      <c r="I73" s="75"/>
      <c r="J73" s="75"/>
      <c r="K73" s="75"/>
      <c r="L73" s="75"/>
      <c r="M73" s="75"/>
      <c r="N73" s="75"/>
      <c r="O73" s="75"/>
      <c r="P73" s="75"/>
      <c r="Q73" s="75"/>
      <c r="R73" s="96" t="s">
        <v>774</v>
      </c>
      <c r="S73" s="96" t="s">
        <v>43</v>
      </c>
      <c r="T73" s="96" t="s">
        <v>775</v>
      </c>
      <c r="U73" s="96"/>
    </row>
    <row r="74" spans="1:21" ht="19.5" customHeight="1" x14ac:dyDescent="0.25">
      <c r="A74" s="72" t="s">
        <v>362</v>
      </c>
      <c r="B74" s="73" t="s">
        <v>287</v>
      </c>
      <c r="C74" s="77">
        <v>6604.19</v>
      </c>
      <c r="D74" s="75" t="s">
        <v>363</v>
      </c>
      <c r="E74" s="75"/>
      <c r="F74" s="78">
        <v>-9.3200000000000005E-2</v>
      </c>
      <c r="G74" s="78">
        <v>-9.9699999999999997E-2</v>
      </c>
      <c r="H74" s="78">
        <v>-0.05</v>
      </c>
      <c r="I74" s="78">
        <v>-7.3700000000000002E-2</v>
      </c>
      <c r="J74" s="78">
        <v>-6.0999999999999999E-2</v>
      </c>
      <c r="K74" s="75"/>
      <c r="L74" s="75"/>
      <c r="M74" s="78">
        <v>-9.9099999999999994E-2</v>
      </c>
      <c r="N74" s="78">
        <v>-4.4999999999999998E-2</v>
      </c>
      <c r="O74" s="76">
        <v>7.0999999999999994E-2</v>
      </c>
      <c r="P74" s="76">
        <v>8.2000000000000003E-2</v>
      </c>
      <c r="Q74" s="76">
        <v>8.1000000000000003E-2</v>
      </c>
      <c r="R74" s="96" t="s">
        <v>776</v>
      </c>
      <c r="S74" s="96" t="s">
        <v>777</v>
      </c>
      <c r="T74" s="96" t="s">
        <v>778</v>
      </c>
      <c r="U74" s="96"/>
    </row>
    <row r="75" spans="1:21" ht="19.5" customHeight="1" x14ac:dyDescent="0.25">
      <c r="A75" s="72" t="s">
        <v>367</v>
      </c>
      <c r="B75" s="73" t="s">
        <v>287</v>
      </c>
      <c r="C75" s="77">
        <v>10819.9</v>
      </c>
      <c r="D75" s="75" t="s">
        <v>368</v>
      </c>
      <c r="E75" s="78">
        <v>-7.1999999999999995E-2</v>
      </c>
      <c r="F75" s="75"/>
      <c r="G75" s="75"/>
      <c r="H75" s="75"/>
      <c r="I75" s="75"/>
      <c r="J75" s="78">
        <v>-5.2999999999999999E-2</v>
      </c>
      <c r="K75" s="78">
        <v>-7.6999999999999999E-2</v>
      </c>
      <c r="L75" s="78">
        <v>-7.4999999999999997E-2</v>
      </c>
      <c r="M75" s="75"/>
      <c r="N75" s="61">
        <v>0.12781999999999999</v>
      </c>
      <c r="O75" s="64">
        <v>-0.84</v>
      </c>
      <c r="P75" s="78">
        <v>-0.1</v>
      </c>
      <c r="Q75" s="78">
        <v>-0.08</v>
      </c>
      <c r="R75" s="97" t="s">
        <v>779</v>
      </c>
      <c r="S75" s="97" t="s">
        <v>780</v>
      </c>
      <c r="T75" s="97" t="s">
        <v>781</v>
      </c>
      <c r="U75" s="97"/>
    </row>
    <row r="76" spans="1:21" ht="19.5" customHeight="1" x14ac:dyDescent="0.25">
      <c r="A76" s="72" t="s">
        <v>372</v>
      </c>
      <c r="B76" s="73" t="s">
        <v>287</v>
      </c>
      <c r="C76" s="77">
        <v>8240.51</v>
      </c>
      <c r="D76" s="75" t="s">
        <v>373</v>
      </c>
      <c r="E76" s="75"/>
      <c r="F76" s="78">
        <v>-7.22E-2</v>
      </c>
      <c r="G76" s="78">
        <v>-7.6799999999999993E-2</v>
      </c>
      <c r="H76" s="78">
        <v>-4.8000000000000001E-2</v>
      </c>
      <c r="I76" s="78">
        <v>-5.9900000000000002E-2</v>
      </c>
      <c r="J76" s="78">
        <v>-3.4000000000000002E-2</v>
      </c>
      <c r="K76" s="75"/>
      <c r="L76" s="75"/>
      <c r="M76" s="78">
        <v>-8.2299999999999998E-2</v>
      </c>
      <c r="N76" s="61">
        <v>0.17580000000000001</v>
      </c>
      <c r="O76" s="75"/>
      <c r="P76" s="75"/>
      <c r="Q76" s="75"/>
      <c r="R76" s="96" t="s">
        <v>782</v>
      </c>
      <c r="S76" s="96" t="s">
        <v>783</v>
      </c>
      <c r="T76" s="96" t="s">
        <v>784</v>
      </c>
      <c r="U76" s="96"/>
    </row>
    <row r="77" spans="1:21" ht="19.5" customHeight="1" x14ac:dyDescent="0.25">
      <c r="A77" s="72" t="s">
        <v>377</v>
      </c>
      <c r="B77" s="73" t="s">
        <v>287</v>
      </c>
      <c r="C77" s="77">
        <v>5230.46</v>
      </c>
      <c r="D77" s="75" t="s">
        <v>378</v>
      </c>
      <c r="E77" s="76">
        <v>5.2560000000000003E-2</v>
      </c>
      <c r="F77" s="78">
        <v>-8.9359999999999995E-2</v>
      </c>
      <c r="G77" s="75"/>
      <c r="H77" s="59">
        <v>0.40605000000000002</v>
      </c>
      <c r="I77" s="64">
        <v>-0.25822000000000001</v>
      </c>
      <c r="J77" s="75"/>
      <c r="K77" s="75"/>
      <c r="L77" s="75"/>
      <c r="M77" s="75"/>
      <c r="N77" s="75"/>
      <c r="O77" s="75"/>
      <c r="P77" s="75"/>
      <c r="Q77" s="75"/>
      <c r="R77" s="96" t="s">
        <v>660</v>
      </c>
      <c r="S77" s="96" t="s">
        <v>43</v>
      </c>
      <c r="T77" s="96" t="s">
        <v>785</v>
      </c>
      <c r="U77" s="96"/>
    </row>
    <row r="78" spans="1:21" ht="19.5" customHeight="1" x14ac:dyDescent="0.25">
      <c r="A78" s="72" t="s">
        <v>382</v>
      </c>
      <c r="B78" s="73" t="s">
        <v>287</v>
      </c>
      <c r="C78" s="77">
        <v>3314.01</v>
      </c>
      <c r="D78" s="75" t="s">
        <v>383</v>
      </c>
      <c r="E78" s="78">
        <v>-6.3479999999999995E-2</v>
      </c>
      <c r="F78" s="61">
        <v>0.14058999999999999</v>
      </c>
      <c r="G78" s="61">
        <v>0.15042</v>
      </c>
      <c r="H78" s="76">
        <v>8.7999999999999995E-2</v>
      </c>
      <c r="I78" s="61">
        <v>0.11441999999999999</v>
      </c>
      <c r="J78" s="75"/>
      <c r="K78" s="78">
        <v>-7.5179999999999997E-2</v>
      </c>
      <c r="L78" s="78">
        <v>-7.016E-2</v>
      </c>
      <c r="M78" s="61">
        <v>0.14762</v>
      </c>
      <c r="N78" s="75"/>
      <c r="O78" s="78">
        <v>-9.6259999999999998E-2</v>
      </c>
      <c r="P78" s="78">
        <v>-9.5039999999999999E-2</v>
      </c>
      <c r="Q78" s="78">
        <v>-9.9000000000000005E-2</v>
      </c>
      <c r="R78" s="97" t="s">
        <v>786</v>
      </c>
      <c r="S78" s="97" t="s">
        <v>787</v>
      </c>
      <c r="T78" s="97" t="s">
        <v>788</v>
      </c>
      <c r="U78" s="97"/>
    </row>
    <row r="79" spans="1:21" ht="19.5" customHeight="1" x14ac:dyDescent="0.25">
      <c r="A79" s="72" t="s">
        <v>387</v>
      </c>
      <c r="B79" s="73" t="s">
        <v>287</v>
      </c>
      <c r="C79" s="77">
        <v>6314.84</v>
      </c>
      <c r="D79" s="75" t="s">
        <v>388</v>
      </c>
      <c r="E79" s="75"/>
      <c r="F79" s="78">
        <v>-9.2319999999999999E-2</v>
      </c>
      <c r="G79" s="78">
        <v>-4.4240000000000002E-2</v>
      </c>
      <c r="H79" s="59">
        <v>0.40193000000000001</v>
      </c>
      <c r="I79" s="75"/>
      <c r="J79" s="75"/>
      <c r="K79" s="75"/>
      <c r="L79" s="75"/>
      <c r="M79" s="75"/>
      <c r="N79" s="75"/>
      <c r="O79" s="75"/>
      <c r="P79" s="75"/>
      <c r="Q79" s="75"/>
      <c r="R79" s="96" t="s">
        <v>789</v>
      </c>
      <c r="S79" s="96" t="s">
        <v>43</v>
      </c>
      <c r="T79" s="96" t="s">
        <v>790</v>
      </c>
      <c r="U79" s="96"/>
    </row>
    <row r="80" spans="1:21" ht="19.5" customHeight="1" x14ac:dyDescent="0.25">
      <c r="A80" s="72" t="s">
        <v>392</v>
      </c>
      <c r="B80" s="73" t="s">
        <v>287</v>
      </c>
      <c r="C80" s="77">
        <v>16376.64</v>
      </c>
      <c r="D80" s="75" t="s">
        <v>394</v>
      </c>
      <c r="E80" s="75"/>
      <c r="F80" s="75"/>
      <c r="G80" s="75"/>
      <c r="H80" s="75"/>
      <c r="I80" s="75"/>
      <c r="J80" s="75"/>
      <c r="K80" s="75"/>
      <c r="L80" s="75"/>
      <c r="M80" s="61">
        <v>0.1976</v>
      </c>
      <c r="N80" s="75"/>
      <c r="O80" s="75"/>
      <c r="P80" s="75"/>
      <c r="Q80" s="75"/>
      <c r="R80" s="96" t="s">
        <v>43</v>
      </c>
      <c r="S80" s="96" t="s">
        <v>43</v>
      </c>
      <c r="T80" s="96" t="s">
        <v>791</v>
      </c>
      <c r="U80" s="96" t="s">
        <v>792</v>
      </c>
    </row>
    <row r="81" spans="1:21" ht="19.5" customHeight="1" x14ac:dyDescent="0.25">
      <c r="A81" s="72" t="s">
        <v>397</v>
      </c>
      <c r="B81" s="73" t="s">
        <v>287</v>
      </c>
      <c r="C81" s="77">
        <v>4392.4399999999996</v>
      </c>
      <c r="D81" s="75" t="s">
        <v>398</v>
      </c>
      <c r="E81" s="78">
        <v>-6.9500000000000006E-2</v>
      </c>
      <c r="F81" s="75"/>
      <c r="G81" s="75"/>
      <c r="H81" s="64">
        <v>-0.11666</v>
      </c>
      <c r="I81" s="78">
        <v>-7.3690000000000005E-2</v>
      </c>
      <c r="J81" s="64">
        <v>-0.33600999999999998</v>
      </c>
      <c r="K81" s="75"/>
      <c r="L81" s="75"/>
      <c r="M81" s="75"/>
      <c r="N81" s="75"/>
      <c r="O81" s="75"/>
      <c r="P81" s="75"/>
      <c r="Q81" s="75"/>
      <c r="R81" s="96" t="s">
        <v>43</v>
      </c>
      <c r="S81" s="96" t="s">
        <v>43</v>
      </c>
      <c r="T81" s="96" t="s">
        <v>690</v>
      </c>
      <c r="U81" s="96"/>
    </row>
    <row r="82" spans="1:21" ht="19.5" customHeight="1" x14ac:dyDescent="0.25">
      <c r="A82" s="72" t="s">
        <v>401</v>
      </c>
      <c r="B82" s="73" t="s">
        <v>287</v>
      </c>
      <c r="C82" s="77">
        <v>23333.33</v>
      </c>
      <c r="D82" s="75" t="s">
        <v>41</v>
      </c>
      <c r="E82" s="75"/>
      <c r="F82" s="75"/>
      <c r="G82" s="75"/>
      <c r="H82" s="75"/>
      <c r="I82" s="75"/>
      <c r="J82" s="64">
        <v>-0.11</v>
      </c>
      <c r="K82" s="75"/>
      <c r="L82" s="75"/>
      <c r="M82" s="75"/>
      <c r="N82" s="75"/>
      <c r="O82" s="75"/>
      <c r="P82" s="75"/>
      <c r="Q82" s="75"/>
      <c r="R82" s="96" t="s">
        <v>690</v>
      </c>
      <c r="S82" s="96" t="s">
        <v>43</v>
      </c>
      <c r="T82" s="96" t="s">
        <v>43</v>
      </c>
      <c r="U82" s="96"/>
    </row>
    <row r="83" spans="1:21" ht="19.5" customHeight="1" x14ac:dyDescent="0.25">
      <c r="A83" s="72" t="s">
        <v>404</v>
      </c>
      <c r="B83" s="73" t="s">
        <v>287</v>
      </c>
      <c r="C83" s="77">
        <v>32001.33</v>
      </c>
      <c r="D83" s="75" t="s">
        <v>405</v>
      </c>
      <c r="E83" s="75"/>
      <c r="F83" s="75"/>
      <c r="G83" s="75"/>
      <c r="H83" s="75"/>
      <c r="I83" s="75"/>
      <c r="J83" s="75"/>
      <c r="K83" s="75"/>
      <c r="L83" s="76">
        <v>0.08</v>
      </c>
      <c r="M83" s="75"/>
      <c r="N83" s="75"/>
      <c r="O83" s="75"/>
      <c r="P83" s="75"/>
      <c r="Q83" s="75"/>
      <c r="R83" s="96" t="s">
        <v>793</v>
      </c>
      <c r="S83" s="96" t="s">
        <v>794</v>
      </c>
      <c r="T83" s="96" t="s">
        <v>714</v>
      </c>
      <c r="U83" s="96"/>
    </row>
    <row r="84" spans="1:21" ht="19.5" customHeight="1" x14ac:dyDescent="0.25">
      <c r="A84" s="72" t="s">
        <v>408</v>
      </c>
      <c r="B84" s="73" t="s">
        <v>287</v>
      </c>
      <c r="C84" s="77">
        <v>11040.17</v>
      </c>
      <c r="D84" s="75" t="s">
        <v>410</v>
      </c>
      <c r="E84" s="78">
        <v>-0.06</v>
      </c>
      <c r="F84" s="75"/>
      <c r="G84" s="75"/>
      <c r="H84" s="75"/>
      <c r="I84" s="75"/>
      <c r="J84" s="78">
        <v>-4.4999999999999998E-2</v>
      </c>
      <c r="K84" s="78">
        <v>-5.8999999999999997E-2</v>
      </c>
      <c r="L84" s="78">
        <v>-5.8000000000000003E-2</v>
      </c>
      <c r="M84" s="75"/>
      <c r="N84" s="75"/>
      <c r="O84" s="75"/>
      <c r="P84" s="75"/>
      <c r="Q84" s="75"/>
      <c r="R84" s="96" t="s">
        <v>795</v>
      </c>
      <c r="S84" s="96" t="s">
        <v>796</v>
      </c>
      <c r="T84" s="96" t="s">
        <v>43</v>
      </c>
      <c r="U84" s="96"/>
    </row>
    <row r="85" spans="1:21" ht="19.5" customHeight="1" x14ac:dyDescent="0.25">
      <c r="A85" s="72" t="s">
        <v>413</v>
      </c>
      <c r="B85" s="73" t="s">
        <v>287</v>
      </c>
      <c r="C85" s="77">
        <v>5229.0200000000004</v>
      </c>
      <c r="D85" s="75" t="s">
        <v>241</v>
      </c>
      <c r="E85" s="75"/>
      <c r="F85" s="78">
        <v>-3.9609999999999999E-2</v>
      </c>
      <c r="G85" s="78">
        <v>-4.3520000000000003E-2</v>
      </c>
      <c r="H85" s="75"/>
      <c r="I85" s="64">
        <v>-0.32600000000000001</v>
      </c>
      <c r="J85" s="75"/>
      <c r="K85" s="75"/>
      <c r="L85" s="75"/>
      <c r="M85" s="78">
        <v>-4.9000000000000002E-2</v>
      </c>
      <c r="N85" s="75"/>
      <c r="O85" s="75"/>
      <c r="P85" s="75"/>
      <c r="Q85" s="75"/>
      <c r="R85" s="96" t="s">
        <v>43</v>
      </c>
      <c r="S85" s="96" t="s">
        <v>769</v>
      </c>
      <c r="T85" s="96" t="s">
        <v>797</v>
      </c>
      <c r="U85" s="96"/>
    </row>
    <row r="86" spans="1:21" ht="19.5" customHeight="1" x14ac:dyDescent="0.25">
      <c r="A86" s="72" t="s">
        <v>415</v>
      </c>
      <c r="B86" s="73" t="s">
        <v>287</v>
      </c>
      <c r="C86" s="77">
        <v>2556.79</v>
      </c>
      <c r="D86" s="75" t="s">
        <v>416</v>
      </c>
      <c r="E86" s="64">
        <v>-0.13825000000000001</v>
      </c>
      <c r="F86" s="76">
        <v>7.9769999999999994E-2</v>
      </c>
      <c r="G86" s="76">
        <v>9.6540000000000001E-2</v>
      </c>
      <c r="H86" s="75"/>
      <c r="I86" s="75"/>
      <c r="J86" s="64">
        <v>-0.15722</v>
      </c>
      <c r="K86" s="64">
        <v>-0.13169</v>
      </c>
      <c r="L86" s="64">
        <v>-0.14457999999999999</v>
      </c>
      <c r="M86" s="61">
        <v>0.10349</v>
      </c>
      <c r="N86" s="75"/>
      <c r="O86" s="75"/>
      <c r="P86" s="75"/>
      <c r="Q86" s="75"/>
      <c r="R86" s="96" t="s">
        <v>798</v>
      </c>
      <c r="S86" s="96" t="s">
        <v>799</v>
      </c>
      <c r="T86" s="96" t="s">
        <v>800</v>
      </c>
      <c r="U86" s="96"/>
    </row>
    <row r="87" spans="1:21" ht="19.5" customHeight="1" x14ac:dyDescent="0.25">
      <c r="A87" s="72" t="s">
        <v>420</v>
      </c>
      <c r="B87" s="73" t="s">
        <v>287</v>
      </c>
      <c r="C87" s="77">
        <v>5209.0200000000004</v>
      </c>
      <c r="D87" s="75" t="s">
        <v>373</v>
      </c>
      <c r="E87" s="75"/>
      <c r="F87" s="78">
        <v>-0.06</v>
      </c>
      <c r="G87" s="75"/>
      <c r="H87" s="64">
        <v>-0.15515000000000001</v>
      </c>
      <c r="I87" s="64">
        <v>-0.18204999999999999</v>
      </c>
      <c r="J87" s="75"/>
      <c r="K87" s="75"/>
      <c r="L87" s="75"/>
      <c r="M87" s="75"/>
      <c r="N87" s="75"/>
      <c r="O87" s="75"/>
      <c r="P87" s="75"/>
      <c r="Q87" s="75"/>
      <c r="R87" s="96" t="s">
        <v>43</v>
      </c>
      <c r="S87" s="96" t="s">
        <v>43</v>
      </c>
      <c r="T87" s="96" t="s">
        <v>43</v>
      </c>
      <c r="U87" s="96"/>
    </row>
    <row r="88" spans="1:21" ht="19.5" customHeight="1" x14ac:dyDescent="0.25">
      <c r="A88" s="72" t="s">
        <v>423</v>
      </c>
      <c r="B88" s="73" t="s">
        <v>287</v>
      </c>
      <c r="C88" s="77">
        <v>6210.06</v>
      </c>
      <c r="D88" s="75" t="s">
        <v>264</v>
      </c>
      <c r="E88" s="75"/>
      <c r="F88" s="75"/>
      <c r="G88" s="75"/>
      <c r="H88" s="75"/>
      <c r="I88" s="75"/>
      <c r="J88" s="75"/>
      <c r="K88" s="76">
        <v>1.6E-2</v>
      </c>
      <c r="L88" s="59">
        <v>0.31331999999999999</v>
      </c>
      <c r="M88" s="75"/>
      <c r="N88" s="75"/>
      <c r="O88" s="75"/>
      <c r="P88" s="75"/>
      <c r="Q88" s="75"/>
      <c r="R88" s="96" t="s">
        <v>801</v>
      </c>
      <c r="S88" s="96" t="s">
        <v>43</v>
      </c>
      <c r="T88" s="96" t="s">
        <v>43</v>
      </c>
      <c r="U88" s="96"/>
    </row>
    <row r="89" spans="1:21" ht="19.5" customHeight="1" x14ac:dyDescent="0.25">
      <c r="A89" s="72" t="s">
        <v>427</v>
      </c>
      <c r="B89" s="73" t="s">
        <v>287</v>
      </c>
      <c r="C89" s="77">
        <v>3663.34</v>
      </c>
      <c r="D89" s="75" t="s">
        <v>428</v>
      </c>
      <c r="E89" s="78">
        <v>-5.8200000000000002E-2</v>
      </c>
      <c r="F89" s="75"/>
      <c r="G89" s="75"/>
      <c r="H89" s="78">
        <v>-3.9E-2</v>
      </c>
      <c r="I89" s="78">
        <v>-3.2000000000000001E-2</v>
      </c>
      <c r="J89" s="78">
        <v>-4.2900000000000001E-2</v>
      </c>
      <c r="K89" s="78">
        <v>-6.4000000000000001E-2</v>
      </c>
      <c r="L89" s="78">
        <v>-6.2E-2</v>
      </c>
      <c r="M89" s="75"/>
      <c r="N89" s="75"/>
      <c r="O89" s="78">
        <v>-6.6000000000000003E-2</v>
      </c>
      <c r="P89" s="76">
        <v>4.4479999999999999E-2</v>
      </c>
      <c r="Q89" s="78">
        <v>-6.8000000000000005E-2</v>
      </c>
      <c r="R89" s="97" t="s">
        <v>802</v>
      </c>
      <c r="S89" s="97" t="s">
        <v>803</v>
      </c>
      <c r="T89" s="97" t="s">
        <v>804</v>
      </c>
      <c r="U89" s="97" t="s">
        <v>805</v>
      </c>
    </row>
    <row r="90" spans="1:21" ht="19.5" customHeight="1" x14ac:dyDescent="0.25">
      <c r="A90" s="72" t="s">
        <v>432</v>
      </c>
      <c r="B90" s="73" t="s">
        <v>287</v>
      </c>
      <c r="C90" s="77">
        <v>4333.3999999999996</v>
      </c>
      <c r="D90" s="75" t="s">
        <v>433</v>
      </c>
      <c r="E90" s="75"/>
      <c r="F90" s="78">
        <v>-5.577E-2</v>
      </c>
      <c r="G90" s="78">
        <v>-5.8430000000000003E-2</v>
      </c>
      <c r="H90" s="78">
        <v>-0.04</v>
      </c>
      <c r="I90" s="78">
        <v>-4.8230000000000002E-2</v>
      </c>
      <c r="J90" s="75"/>
      <c r="K90" s="75"/>
      <c r="L90" s="75"/>
      <c r="M90" s="78">
        <v>-5.9249999999999997E-2</v>
      </c>
      <c r="N90" s="75"/>
      <c r="O90" s="76">
        <v>3.5700000000000003E-2</v>
      </c>
      <c r="P90" s="76">
        <v>4.5240000000000002E-2</v>
      </c>
      <c r="Q90" s="76">
        <v>5.4850000000000003E-2</v>
      </c>
      <c r="R90" s="96" t="s">
        <v>671</v>
      </c>
      <c r="S90" s="96" t="s">
        <v>806</v>
      </c>
      <c r="T90" s="96" t="s">
        <v>807</v>
      </c>
      <c r="U90" s="96"/>
    </row>
    <row r="91" spans="1:21" ht="19.5" customHeight="1" x14ac:dyDescent="0.25">
      <c r="A91" s="72" t="s">
        <v>437</v>
      </c>
      <c r="B91" s="73" t="s">
        <v>287</v>
      </c>
      <c r="C91" s="77">
        <v>3348.1</v>
      </c>
      <c r="D91" s="75" t="s">
        <v>438</v>
      </c>
      <c r="E91" s="75"/>
      <c r="F91" s="78">
        <v>-6.3549999999999995E-2</v>
      </c>
      <c r="G91" s="78">
        <v>-6.2129999999999998E-2</v>
      </c>
      <c r="H91" s="78">
        <v>-5.7660000000000003E-2</v>
      </c>
      <c r="I91" s="78">
        <v>-6.1400000000000003E-2</v>
      </c>
      <c r="J91" s="78">
        <v>-7.5459999999999999E-2</v>
      </c>
      <c r="K91" s="75"/>
      <c r="L91" s="75"/>
      <c r="M91" s="78">
        <v>-5.4199999999999998E-2</v>
      </c>
      <c r="N91" s="76">
        <v>6.5939999999999999E-2</v>
      </c>
      <c r="O91" s="75"/>
      <c r="P91" s="76">
        <v>6.361E-2</v>
      </c>
      <c r="Q91" s="75"/>
      <c r="R91" s="96" t="s">
        <v>808</v>
      </c>
      <c r="S91" s="96" t="s">
        <v>809</v>
      </c>
      <c r="T91" s="96" t="s">
        <v>810</v>
      </c>
      <c r="U91" s="96"/>
    </row>
    <row r="92" spans="1:21" ht="19.5" customHeight="1" x14ac:dyDescent="0.25">
      <c r="A92" s="72" t="s">
        <v>442</v>
      </c>
      <c r="B92" s="73" t="s">
        <v>287</v>
      </c>
      <c r="C92" s="77">
        <v>11356.14</v>
      </c>
      <c r="D92" s="75" t="s">
        <v>444</v>
      </c>
      <c r="E92" s="75"/>
      <c r="F92" s="75"/>
      <c r="G92" s="75"/>
      <c r="H92" s="75"/>
      <c r="I92" s="75"/>
      <c r="J92" s="75"/>
      <c r="K92" s="75"/>
      <c r="L92" s="75"/>
      <c r="M92" s="75"/>
      <c r="N92" s="61">
        <v>0.14257</v>
      </c>
      <c r="O92" s="75"/>
      <c r="P92" s="75"/>
      <c r="Q92" s="75"/>
      <c r="R92" s="96" t="s">
        <v>690</v>
      </c>
      <c r="S92" s="96" t="s">
        <v>690</v>
      </c>
      <c r="T92" s="96" t="s">
        <v>690</v>
      </c>
      <c r="U92" s="96"/>
    </row>
    <row r="93" spans="1:21" ht="19.5" customHeight="1" x14ac:dyDescent="0.25">
      <c r="A93" s="72" t="s">
        <v>447</v>
      </c>
      <c r="B93" s="73" t="s">
        <v>287</v>
      </c>
      <c r="C93" s="77">
        <v>4724.22</v>
      </c>
      <c r="D93" s="75" t="s">
        <v>448</v>
      </c>
      <c r="E93" s="75"/>
      <c r="F93" s="75"/>
      <c r="G93" s="76">
        <v>6.5000000000000002E-2</v>
      </c>
      <c r="H93" s="75"/>
      <c r="I93" s="75"/>
      <c r="J93" s="75"/>
      <c r="K93" s="75"/>
      <c r="L93" s="75"/>
      <c r="M93" s="59">
        <v>0.25691000000000003</v>
      </c>
      <c r="N93" s="75"/>
      <c r="O93" s="75"/>
      <c r="P93" s="75"/>
      <c r="Q93" s="75"/>
      <c r="R93" s="96" t="s">
        <v>811</v>
      </c>
      <c r="S93" s="96" t="s">
        <v>812</v>
      </c>
      <c r="T93" s="96" t="s">
        <v>813</v>
      </c>
      <c r="U93" s="96"/>
    </row>
    <row r="94" spans="1:21" ht="19.5" customHeight="1" x14ac:dyDescent="0.25">
      <c r="A94" s="72" t="s">
        <v>452</v>
      </c>
      <c r="B94" s="73" t="s">
        <v>287</v>
      </c>
      <c r="C94" s="77">
        <v>14518.22</v>
      </c>
      <c r="D94" s="75" t="s">
        <v>453</v>
      </c>
      <c r="E94" s="75"/>
      <c r="F94" s="75"/>
      <c r="G94" s="76">
        <v>4.1000000000000002E-2</v>
      </c>
      <c r="H94" s="75"/>
      <c r="I94" s="75"/>
      <c r="J94" s="75"/>
      <c r="K94" s="75"/>
      <c r="L94" s="75"/>
      <c r="M94" s="76">
        <v>6.3E-2</v>
      </c>
      <c r="N94" s="75"/>
      <c r="O94" s="75"/>
      <c r="P94" s="75"/>
      <c r="Q94" s="75"/>
      <c r="R94" s="96" t="s">
        <v>43</v>
      </c>
      <c r="S94" s="96" t="s">
        <v>814</v>
      </c>
      <c r="T94" s="96" t="s">
        <v>815</v>
      </c>
      <c r="U94" s="96" t="s">
        <v>816</v>
      </c>
    </row>
    <row r="95" spans="1:21" ht="19.5" customHeight="1" x14ac:dyDescent="0.25">
      <c r="A95" s="72" t="s">
        <v>457</v>
      </c>
      <c r="B95" s="73" t="s">
        <v>287</v>
      </c>
      <c r="C95" s="77">
        <v>35242.22</v>
      </c>
      <c r="D95" s="75" t="s">
        <v>458</v>
      </c>
      <c r="E95" s="75"/>
      <c r="F95" s="75"/>
      <c r="G95" s="75"/>
      <c r="H95" s="75"/>
      <c r="I95" s="75"/>
      <c r="J95" s="75"/>
      <c r="K95" s="75"/>
      <c r="L95" s="75"/>
      <c r="M95" s="75"/>
      <c r="N95" s="75"/>
      <c r="O95" s="76">
        <v>0.04</v>
      </c>
      <c r="P95" s="75"/>
      <c r="Q95" s="75"/>
      <c r="R95" s="96" t="s">
        <v>691</v>
      </c>
      <c r="S95" s="96" t="s">
        <v>817</v>
      </c>
      <c r="T95" s="96" t="s">
        <v>818</v>
      </c>
      <c r="U95" s="96"/>
    </row>
    <row r="96" spans="1:21" ht="19.5" customHeight="1" x14ac:dyDescent="0.25">
      <c r="A96" s="72" t="s">
        <v>461</v>
      </c>
      <c r="B96" s="73" t="s">
        <v>287</v>
      </c>
      <c r="C96" s="77">
        <v>5037.87</v>
      </c>
      <c r="D96" s="75" t="s">
        <v>462</v>
      </c>
      <c r="E96" s="78">
        <v>-0.02</v>
      </c>
      <c r="F96" s="76">
        <v>4.1959999999999997E-2</v>
      </c>
      <c r="G96" s="76">
        <v>4.5159999999999999E-2</v>
      </c>
      <c r="H96" s="75"/>
      <c r="I96" s="75"/>
      <c r="J96" s="75"/>
      <c r="K96" s="78">
        <v>-0.02</v>
      </c>
      <c r="L96" s="78">
        <v>-0.02</v>
      </c>
      <c r="M96" s="76">
        <v>4.5999999999999999E-2</v>
      </c>
      <c r="N96" s="75"/>
      <c r="O96" s="78">
        <v>-2.7E-2</v>
      </c>
      <c r="P96" s="78">
        <v>-2.5999999999999999E-2</v>
      </c>
      <c r="Q96" s="78">
        <v>-2.7E-2</v>
      </c>
      <c r="R96" s="97" t="s">
        <v>669</v>
      </c>
      <c r="S96" s="97" t="s">
        <v>819</v>
      </c>
      <c r="T96" s="97" t="s">
        <v>820</v>
      </c>
      <c r="U96" s="97"/>
    </row>
    <row r="97" spans="1:21" ht="19.5" customHeight="1" x14ac:dyDescent="0.25">
      <c r="A97" s="72" t="s">
        <v>466</v>
      </c>
      <c r="B97" s="73" t="s">
        <v>287</v>
      </c>
      <c r="C97" s="77">
        <v>12489.03</v>
      </c>
      <c r="D97" s="75" t="s">
        <v>467</v>
      </c>
      <c r="E97" s="75"/>
      <c r="F97" s="75"/>
      <c r="G97" s="75"/>
      <c r="H97" s="75"/>
      <c r="I97" s="75"/>
      <c r="J97" s="75"/>
      <c r="K97" s="75"/>
      <c r="L97" s="75"/>
      <c r="M97" s="75"/>
      <c r="N97" s="75"/>
      <c r="O97" s="78">
        <v>-4.4999999999999998E-2</v>
      </c>
      <c r="P97" s="75"/>
      <c r="Q97" s="76">
        <v>5.2999999999999999E-2</v>
      </c>
      <c r="R97" s="96" t="s">
        <v>43</v>
      </c>
      <c r="S97" s="96" t="s">
        <v>671</v>
      </c>
      <c r="T97" s="96" t="s">
        <v>43</v>
      </c>
      <c r="U97" s="96"/>
    </row>
    <row r="98" spans="1:21" ht="19.5" customHeight="1" x14ac:dyDescent="0.25">
      <c r="A98" s="72" t="s">
        <v>471</v>
      </c>
      <c r="B98" s="73" t="s">
        <v>287</v>
      </c>
      <c r="C98" s="77">
        <v>3353.69</v>
      </c>
      <c r="D98" s="75" t="s">
        <v>472</v>
      </c>
      <c r="E98" s="75"/>
      <c r="F98" s="76">
        <v>5.5980000000000002E-2</v>
      </c>
      <c r="G98" s="76">
        <v>5.2330000000000002E-2</v>
      </c>
      <c r="H98" s="76">
        <v>5.4280000000000002E-2</v>
      </c>
      <c r="I98" s="76">
        <v>5.6300000000000003E-2</v>
      </c>
      <c r="J98" s="76">
        <v>6.4899999999999999E-2</v>
      </c>
      <c r="K98" s="75"/>
      <c r="L98" s="75"/>
      <c r="M98" s="75"/>
      <c r="N98" s="78">
        <v>-7.0519999999999999E-2</v>
      </c>
      <c r="O98" s="75"/>
      <c r="P98" s="75"/>
      <c r="Q98" s="75"/>
      <c r="R98" s="96" t="s">
        <v>821</v>
      </c>
      <c r="S98" s="96" t="s">
        <v>822</v>
      </c>
      <c r="T98" s="96" t="s">
        <v>823</v>
      </c>
      <c r="U98" s="96"/>
    </row>
    <row r="99" spans="1:21" ht="19.5" customHeight="1" x14ac:dyDescent="0.25">
      <c r="A99" s="72" t="s">
        <v>475</v>
      </c>
      <c r="B99" s="73" t="s">
        <v>287</v>
      </c>
      <c r="C99" s="77">
        <v>18859.009999999998</v>
      </c>
      <c r="D99" s="75" t="s">
        <v>476</v>
      </c>
      <c r="E99" s="75"/>
      <c r="F99" s="75"/>
      <c r="G99" s="75"/>
      <c r="H99" s="75"/>
      <c r="I99" s="75"/>
      <c r="J99" s="76">
        <v>5.8999999999999997E-2</v>
      </c>
      <c r="K99" s="75"/>
      <c r="L99" s="75"/>
      <c r="M99" s="75"/>
      <c r="N99" s="75"/>
      <c r="O99" s="75"/>
      <c r="P99" s="75"/>
      <c r="Q99" s="75"/>
      <c r="R99" s="96" t="s">
        <v>43</v>
      </c>
      <c r="S99" s="96" t="s">
        <v>43</v>
      </c>
      <c r="T99" s="96" t="s">
        <v>43</v>
      </c>
      <c r="U99" s="96"/>
    </row>
    <row r="100" spans="1:21" ht="19.5" customHeight="1" x14ac:dyDescent="0.25">
      <c r="A100" s="72" t="s">
        <v>479</v>
      </c>
      <c r="B100" s="73" t="s">
        <v>287</v>
      </c>
      <c r="C100" s="77">
        <v>16830.009999999998</v>
      </c>
      <c r="D100" s="75" t="s">
        <v>480</v>
      </c>
      <c r="E100" s="75"/>
      <c r="F100" s="75"/>
      <c r="G100" s="75"/>
      <c r="H100" s="75"/>
      <c r="I100" s="75"/>
      <c r="J100" s="75"/>
      <c r="K100" s="75"/>
      <c r="L100" s="75"/>
      <c r="M100" s="75"/>
      <c r="N100" s="75"/>
      <c r="O100" s="76">
        <v>0.06</v>
      </c>
      <c r="P100" s="75"/>
      <c r="Q100" s="75"/>
      <c r="R100" s="96" t="s">
        <v>43</v>
      </c>
      <c r="S100" s="96" t="s">
        <v>824</v>
      </c>
      <c r="T100" s="96" t="s">
        <v>43</v>
      </c>
      <c r="U100" s="96" t="s">
        <v>825</v>
      </c>
    </row>
    <row r="101" spans="1:21" ht="19.5" customHeight="1" x14ac:dyDescent="0.25">
      <c r="A101" s="72" t="s">
        <v>483</v>
      </c>
      <c r="B101" s="73" t="s">
        <v>287</v>
      </c>
      <c r="C101" s="77">
        <v>1988.62</v>
      </c>
      <c r="D101" s="75" t="s">
        <v>61</v>
      </c>
      <c r="E101" s="78">
        <v>-4.1939999999999998E-2</v>
      </c>
      <c r="F101" s="61">
        <v>0.10133</v>
      </c>
      <c r="G101" s="76">
        <v>4.0939999999999997E-2</v>
      </c>
      <c r="H101" s="64">
        <v>-0.32295000000000001</v>
      </c>
      <c r="I101" s="75"/>
      <c r="J101" s="75"/>
      <c r="K101" s="75"/>
      <c r="L101" s="75"/>
      <c r="M101" s="75"/>
      <c r="N101" s="75"/>
      <c r="O101" s="75"/>
      <c r="P101" s="75"/>
      <c r="Q101" s="75"/>
      <c r="R101" s="96" t="s">
        <v>826</v>
      </c>
      <c r="S101" s="96" t="s">
        <v>43</v>
      </c>
      <c r="T101" s="96" t="s">
        <v>827</v>
      </c>
      <c r="U101" s="96"/>
    </row>
    <row r="102" spans="1:21" ht="19.5" customHeight="1" x14ac:dyDescent="0.25">
      <c r="A102" s="72" t="s">
        <v>487</v>
      </c>
      <c r="B102" s="73" t="s">
        <v>287</v>
      </c>
      <c r="C102" s="77">
        <v>7382.61</v>
      </c>
      <c r="D102" s="75" t="s">
        <v>488</v>
      </c>
      <c r="E102" s="75"/>
      <c r="F102" s="75"/>
      <c r="G102" s="75"/>
      <c r="H102" s="75"/>
      <c r="I102" s="75"/>
      <c r="J102" s="78">
        <v>-0.08</v>
      </c>
      <c r="K102" s="75"/>
      <c r="L102" s="75"/>
      <c r="M102" s="75"/>
      <c r="N102" s="75"/>
      <c r="O102" s="75"/>
      <c r="P102" s="75"/>
      <c r="Q102" s="75"/>
      <c r="R102" s="96" t="s">
        <v>828</v>
      </c>
      <c r="S102" s="96" t="s">
        <v>690</v>
      </c>
      <c r="T102" s="96" t="s">
        <v>829</v>
      </c>
      <c r="U102" s="96"/>
    </row>
    <row r="103" spans="1:21" ht="19.5" customHeight="1" x14ac:dyDescent="0.25">
      <c r="A103" s="72" t="s">
        <v>491</v>
      </c>
      <c r="B103" s="73" t="s">
        <v>287</v>
      </c>
      <c r="C103" s="77">
        <v>3048</v>
      </c>
      <c r="D103" s="75" t="s">
        <v>368</v>
      </c>
      <c r="E103" s="75"/>
      <c r="F103" s="75"/>
      <c r="G103" s="75"/>
      <c r="H103" s="75"/>
      <c r="I103" s="75"/>
      <c r="J103" s="75"/>
      <c r="K103" s="75"/>
      <c r="L103" s="75"/>
      <c r="M103" s="75"/>
      <c r="N103" s="75"/>
      <c r="O103" s="75"/>
      <c r="P103" s="64">
        <v>-0.14082</v>
      </c>
      <c r="Q103" s="75"/>
      <c r="R103" s="96" t="s">
        <v>43</v>
      </c>
      <c r="S103" s="96" t="s">
        <v>830</v>
      </c>
      <c r="T103" s="96" t="s">
        <v>43</v>
      </c>
      <c r="U103" s="96"/>
    </row>
    <row r="104" spans="1:21" ht="19.5" customHeight="1" x14ac:dyDescent="0.25">
      <c r="A104" s="72" t="s">
        <v>494</v>
      </c>
      <c r="B104" s="73" t="s">
        <v>287</v>
      </c>
      <c r="C104" s="77">
        <v>4113.4799999999996</v>
      </c>
      <c r="D104" s="75" t="s">
        <v>495</v>
      </c>
      <c r="E104" s="75"/>
      <c r="F104" s="75"/>
      <c r="G104" s="75"/>
      <c r="H104" s="75"/>
      <c r="I104" s="75"/>
      <c r="J104" s="75"/>
      <c r="K104" s="76">
        <v>4.8489999999999998E-2</v>
      </c>
      <c r="L104" s="76">
        <v>3.8420000000000003E-2</v>
      </c>
      <c r="M104" s="75"/>
      <c r="N104" s="75"/>
      <c r="O104" s="75"/>
      <c r="P104" s="75"/>
      <c r="Q104" s="75"/>
      <c r="R104" s="96" t="s">
        <v>831</v>
      </c>
      <c r="S104" s="96" t="s">
        <v>43</v>
      </c>
      <c r="T104" s="96" t="s">
        <v>43</v>
      </c>
      <c r="U104" s="96" t="s">
        <v>832</v>
      </c>
    </row>
    <row r="105" spans="1:21" x14ac:dyDescent="0.25">
      <c r="A105" s="98" t="s">
        <v>833</v>
      </c>
      <c r="B105" s="98"/>
      <c r="C105" s="98"/>
      <c r="D105" s="98"/>
      <c r="E105" s="98"/>
      <c r="F105" s="98"/>
      <c r="G105" s="98"/>
      <c r="H105" s="98"/>
      <c r="I105" s="98"/>
      <c r="J105" s="98"/>
      <c r="K105" s="98"/>
      <c r="L105" s="98"/>
      <c r="M105" s="98"/>
      <c r="N105" s="98"/>
      <c r="O105" s="98"/>
      <c r="P105" s="98"/>
      <c r="Q105" s="98"/>
      <c r="R105" s="98"/>
      <c r="S105" s="98"/>
      <c r="T105" s="98"/>
      <c r="U105" s="98"/>
    </row>
    <row r="106" spans="1:21" x14ac:dyDescent="0.25">
      <c r="A106" s="99" t="s">
        <v>499</v>
      </c>
      <c r="B106" s="99" t="s">
        <v>500</v>
      </c>
      <c r="C106" s="99">
        <v>167352.76</v>
      </c>
      <c r="D106" s="99" t="s">
        <v>156</v>
      </c>
      <c r="E106" s="99"/>
      <c r="F106" s="99">
        <v>-1.753E-2</v>
      </c>
      <c r="G106" s="99">
        <v>-1.336E-2</v>
      </c>
      <c r="H106" s="99"/>
      <c r="I106" s="99">
        <v>-1.269E-2</v>
      </c>
      <c r="J106" s="99"/>
      <c r="K106" s="99"/>
      <c r="L106" s="99"/>
      <c r="M106" s="99"/>
      <c r="N106" s="99"/>
      <c r="O106" s="99"/>
      <c r="P106" s="99"/>
      <c r="Q106" s="99"/>
      <c r="R106" s="99" t="s">
        <v>43</v>
      </c>
      <c r="S106" s="99" t="s">
        <v>43</v>
      </c>
      <c r="T106" s="99" t="s">
        <v>43</v>
      </c>
      <c r="U106" s="99" t="s">
        <v>834</v>
      </c>
    </row>
    <row r="107" spans="1:21" x14ac:dyDescent="0.25">
      <c r="A107" s="99" t="s">
        <v>503</v>
      </c>
      <c r="B107" s="99" t="s">
        <v>500</v>
      </c>
      <c r="C107" s="99">
        <v>7518.99</v>
      </c>
      <c r="D107" s="99" t="s">
        <v>504</v>
      </c>
      <c r="E107" s="99"/>
      <c r="F107" s="99"/>
      <c r="G107" s="99"/>
      <c r="H107" s="99"/>
      <c r="I107" s="99"/>
      <c r="J107" s="99"/>
      <c r="K107" s="99"/>
      <c r="L107" s="99"/>
      <c r="M107" s="99"/>
      <c r="N107" s="99"/>
      <c r="O107" s="99">
        <v>0.03</v>
      </c>
      <c r="P107" s="99"/>
      <c r="Q107" s="99">
        <v>0.04</v>
      </c>
      <c r="R107" s="99" t="s">
        <v>43</v>
      </c>
      <c r="S107" s="99" t="s">
        <v>835</v>
      </c>
      <c r="T107" s="99" t="s">
        <v>43</v>
      </c>
      <c r="U107" s="99" t="s">
        <v>836</v>
      </c>
    </row>
    <row r="109" spans="1:21" x14ac:dyDescent="0.25">
      <c r="A109" s="127" t="s">
        <v>837</v>
      </c>
      <c r="B109" s="112"/>
      <c r="C109" s="112"/>
      <c r="D109" s="112"/>
      <c r="E109" s="112"/>
      <c r="F109" s="112"/>
      <c r="G109" s="112"/>
      <c r="H109" s="112"/>
      <c r="I109" s="112"/>
      <c r="J109" s="112"/>
      <c r="K109" s="112"/>
      <c r="L109" s="112"/>
      <c r="M109" s="112"/>
      <c r="N109" s="112"/>
      <c r="O109" s="112"/>
      <c r="P109" s="112"/>
      <c r="Q109" s="112"/>
      <c r="R109" s="112"/>
      <c r="S109" s="112"/>
      <c r="T109" s="112"/>
      <c r="U109" s="112"/>
    </row>
  </sheetData>
  <mergeCells count="3">
    <mergeCell ref="A109:U109"/>
    <mergeCell ref="A1:P1"/>
    <mergeCell ref="A2:P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1457"/>
  </sheetPr>
  <dimension ref="A1:AA60"/>
  <sheetViews>
    <sheetView zoomScaleNormal="100" workbookViewId="0">
      <pane xSplit="1" ySplit="3" topLeftCell="B4" activePane="bottomRight" state="frozen"/>
      <selection pane="topRight" activeCell="B1" sqref="B1"/>
      <selection pane="bottomLeft" activeCell="A4" sqref="A4"/>
      <selection pane="bottomRight" sqref="A1:Z1"/>
    </sheetView>
  </sheetViews>
  <sheetFormatPr defaultColWidth="8.7109375" defaultRowHeight="15" x14ac:dyDescent="0.25"/>
  <cols>
    <col min="1" max="1" width="30" customWidth="1"/>
    <col min="2" max="2" width="10" customWidth="1"/>
    <col min="3" max="3" width="14" customWidth="1"/>
    <col min="4" max="7" width="7" customWidth="1"/>
    <col min="8" max="8" width="7.42578125" bestFit="1" customWidth="1"/>
    <col min="9" max="11" width="7" customWidth="1"/>
    <col min="12" max="16" width="12" customWidth="1"/>
    <col min="17" max="27" width="7" customWidth="1"/>
  </cols>
  <sheetData>
    <row r="1" spans="1:27" ht="27.75" customHeight="1" x14ac:dyDescent="0.25">
      <c r="A1" s="128" t="s">
        <v>838</v>
      </c>
      <c r="B1" s="112"/>
      <c r="C1" s="112"/>
      <c r="D1" s="112"/>
      <c r="E1" s="112"/>
      <c r="F1" s="112"/>
      <c r="G1" s="112"/>
      <c r="H1" s="112"/>
      <c r="I1" s="112"/>
      <c r="J1" s="112"/>
      <c r="K1" s="112"/>
      <c r="L1" s="112"/>
      <c r="M1" s="112"/>
      <c r="N1" s="112"/>
      <c r="O1" s="112"/>
      <c r="P1" s="112"/>
      <c r="Q1" s="112"/>
      <c r="R1" s="112"/>
      <c r="S1" s="112"/>
      <c r="T1" s="112"/>
      <c r="U1" s="112"/>
      <c r="V1" s="112"/>
      <c r="W1" s="112"/>
      <c r="X1" s="112"/>
      <c r="Y1" s="112"/>
      <c r="Z1" s="112"/>
    </row>
    <row r="2" spans="1:27" ht="19.5" customHeight="1" x14ac:dyDescent="0.25">
      <c r="A2" s="120" t="s">
        <v>839</v>
      </c>
      <c r="B2" s="112"/>
      <c r="C2" s="112"/>
      <c r="D2" s="112"/>
      <c r="E2" s="112"/>
      <c r="F2" s="112"/>
      <c r="G2" s="112"/>
      <c r="H2" s="112"/>
      <c r="I2" s="112"/>
      <c r="J2" s="112"/>
      <c r="K2" s="112"/>
      <c r="L2" s="112"/>
      <c r="M2" s="112"/>
      <c r="N2" s="112"/>
      <c r="O2" s="112"/>
      <c r="P2" s="112"/>
      <c r="Q2" s="112"/>
      <c r="R2" s="112"/>
      <c r="S2" s="112"/>
      <c r="T2" s="112"/>
      <c r="U2" s="112"/>
      <c r="V2" s="112"/>
      <c r="W2" s="112"/>
      <c r="X2" s="112"/>
      <c r="Y2" s="112"/>
      <c r="Z2" s="112"/>
    </row>
    <row r="3" spans="1:27" ht="27.75" customHeight="1" x14ac:dyDescent="0.25">
      <c r="A3" s="7" t="s">
        <v>2</v>
      </c>
      <c r="B3" s="7" t="s">
        <v>3</v>
      </c>
      <c r="C3" s="7" t="s">
        <v>840</v>
      </c>
      <c r="D3" s="7" t="s">
        <v>841</v>
      </c>
      <c r="E3" s="7" t="s">
        <v>842</v>
      </c>
      <c r="F3" s="7" t="s">
        <v>843</v>
      </c>
      <c r="G3" s="7" t="s">
        <v>844</v>
      </c>
      <c r="H3" s="7" t="s">
        <v>845</v>
      </c>
      <c r="I3" s="7" t="s">
        <v>846</v>
      </c>
      <c r="J3" s="7" t="s">
        <v>847</v>
      </c>
      <c r="K3" s="7" t="s">
        <v>848</v>
      </c>
      <c r="L3" s="7" t="s">
        <v>849</v>
      </c>
      <c r="M3" s="7" t="s">
        <v>850</v>
      </c>
      <c r="N3" s="7" t="s">
        <v>851</v>
      </c>
      <c r="O3" s="7" t="s">
        <v>852</v>
      </c>
      <c r="P3" s="7" t="s">
        <v>853</v>
      </c>
      <c r="Q3" s="7" t="s">
        <v>854</v>
      </c>
      <c r="R3" s="7" t="s">
        <v>855</v>
      </c>
      <c r="S3" s="7" t="s">
        <v>856</v>
      </c>
      <c r="T3" s="7" t="s">
        <v>857</v>
      </c>
      <c r="U3" s="7" t="s">
        <v>858</v>
      </c>
      <c r="V3" s="7" t="s">
        <v>859</v>
      </c>
      <c r="W3" s="7" t="s">
        <v>860</v>
      </c>
      <c r="X3" s="7" t="s">
        <v>861</v>
      </c>
      <c r="Y3" s="7" t="s">
        <v>862</v>
      </c>
      <c r="Z3" s="7" t="s">
        <v>863</v>
      </c>
      <c r="AA3" s="7" t="s">
        <v>864</v>
      </c>
    </row>
    <row r="4" spans="1:27" ht="19.5" customHeight="1" x14ac:dyDescent="0.25">
      <c r="A4" s="55" t="s">
        <v>16</v>
      </c>
      <c r="B4" s="56" t="s">
        <v>17</v>
      </c>
      <c r="C4" s="57">
        <v>812338.3</v>
      </c>
      <c r="D4" s="79">
        <v>67031.56</v>
      </c>
      <c r="E4" s="80">
        <v>78042.27</v>
      </c>
      <c r="F4" s="80">
        <v>85676.479999999996</v>
      </c>
      <c r="G4" s="80">
        <v>93412.97</v>
      </c>
      <c r="H4" s="80">
        <v>101422.32</v>
      </c>
      <c r="I4" s="80">
        <v>95386.19</v>
      </c>
      <c r="J4" s="80">
        <v>78245.67</v>
      </c>
      <c r="K4" s="79">
        <v>52048.79</v>
      </c>
      <c r="L4" s="81">
        <v>13496.03</v>
      </c>
      <c r="M4" s="81">
        <v>9337.2900000000009</v>
      </c>
      <c r="N4" s="81">
        <v>5147.96</v>
      </c>
      <c r="O4" s="82">
        <v>1781.44</v>
      </c>
      <c r="P4" s="82">
        <v>1755.51</v>
      </c>
      <c r="Q4" s="82">
        <v>2254.73</v>
      </c>
      <c r="R4" s="82">
        <v>1723.31</v>
      </c>
      <c r="S4" s="82">
        <v>1844.91</v>
      </c>
      <c r="T4" s="82">
        <v>880.08</v>
      </c>
      <c r="U4" s="82">
        <v>977.51</v>
      </c>
      <c r="V4" s="82">
        <v>4184.01</v>
      </c>
      <c r="W4" s="81">
        <v>6324.09</v>
      </c>
      <c r="X4" s="81">
        <v>12226.18</v>
      </c>
      <c r="Y4" s="83">
        <v>18850.77</v>
      </c>
      <c r="Z4" s="83">
        <v>28465.14</v>
      </c>
      <c r="AA4" s="79">
        <v>51823.09</v>
      </c>
    </row>
    <row r="5" spans="1:27" ht="19.5" customHeight="1" x14ac:dyDescent="0.25">
      <c r="A5" s="55" t="s">
        <v>25</v>
      </c>
      <c r="B5" s="56" t="s">
        <v>17</v>
      </c>
      <c r="C5" s="57">
        <v>150133.74</v>
      </c>
      <c r="D5" s="83">
        <v>5292.9</v>
      </c>
      <c r="E5" s="81">
        <v>4016.18</v>
      </c>
      <c r="F5" s="81">
        <v>2584.08</v>
      </c>
      <c r="G5" s="81">
        <v>1441.52</v>
      </c>
      <c r="H5" s="81">
        <v>1460.88</v>
      </c>
      <c r="I5" s="81">
        <v>1506.22</v>
      </c>
      <c r="J5" s="81">
        <v>1972.63</v>
      </c>
      <c r="K5" s="82">
        <v>1300.26</v>
      </c>
      <c r="L5" s="82">
        <v>1077.74</v>
      </c>
      <c r="M5" s="81">
        <v>1765.52</v>
      </c>
      <c r="N5" s="81">
        <v>2139.0300000000002</v>
      </c>
      <c r="O5" s="81">
        <v>2022.88</v>
      </c>
      <c r="P5" s="81">
        <v>1587.54</v>
      </c>
      <c r="Q5" s="81">
        <v>1384.82</v>
      </c>
      <c r="R5" s="81">
        <v>1552.48</v>
      </c>
      <c r="S5" s="81">
        <v>2858.78</v>
      </c>
      <c r="T5" s="83">
        <v>4289.72</v>
      </c>
      <c r="U5" s="83">
        <v>7677.17</v>
      </c>
      <c r="V5" s="79">
        <v>15748.88</v>
      </c>
      <c r="W5" s="80">
        <v>27679.73</v>
      </c>
      <c r="X5" s="80">
        <v>27663.42</v>
      </c>
      <c r="Y5" s="79">
        <v>18016.5</v>
      </c>
      <c r="Z5" s="83">
        <v>9419.33</v>
      </c>
      <c r="AA5" s="83">
        <v>5675.53</v>
      </c>
    </row>
    <row r="6" spans="1:27" ht="19.5" customHeight="1" x14ac:dyDescent="0.25">
      <c r="A6" s="55" t="s">
        <v>32</v>
      </c>
      <c r="B6" s="56" t="s">
        <v>17</v>
      </c>
      <c r="C6" s="57">
        <v>103773.93</v>
      </c>
      <c r="D6" s="79">
        <v>6927.47</v>
      </c>
      <c r="E6" s="80">
        <v>7504.88</v>
      </c>
      <c r="F6" s="79">
        <v>5776.69</v>
      </c>
      <c r="G6" s="80">
        <v>7337.18</v>
      </c>
      <c r="H6" s="79">
        <v>6465.42</v>
      </c>
      <c r="I6" s="79">
        <v>4479.6400000000003</v>
      </c>
      <c r="J6" s="79">
        <v>4070.58</v>
      </c>
      <c r="K6" s="83">
        <v>3102.16</v>
      </c>
      <c r="L6" s="81">
        <v>982.11</v>
      </c>
      <c r="M6" s="82">
        <v>163.72999999999999</v>
      </c>
      <c r="N6" s="82"/>
      <c r="O6" s="82"/>
      <c r="P6" s="82"/>
      <c r="Q6" s="82"/>
      <c r="R6" s="82"/>
      <c r="S6" s="82">
        <v>6</v>
      </c>
      <c r="T6" s="81">
        <v>697.78</v>
      </c>
      <c r="U6" s="79">
        <v>6238.74</v>
      </c>
      <c r="V6" s="80">
        <v>7077.57</v>
      </c>
      <c r="W6" s="80">
        <v>8859.7800000000007</v>
      </c>
      <c r="X6" s="80">
        <v>9917.69</v>
      </c>
      <c r="Y6" s="80">
        <v>8495.7199999999993</v>
      </c>
      <c r="Z6" s="80">
        <v>8672.9599999999991</v>
      </c>
      <c r="AA6" s="80">
        <v>6997.83</v>
      </c>
    </row>
    <row r="7" spans="1:27" ht="19.5" customHeight="1" x14ac:dyDescent="0.25">
      <c r="A7" s="55" t="s">
        <v>286</v>
      </c>
      <c r="B7" s="56" t="s">
        <v>17</v>
      </c>
      <c r="C7" s="57">
        <v>89021.72</v>
      </c>
      <c r="D7" s="83">
        <v>3789.99</v>
      </c>
      <c r="E7" s="83">
        <v>3172.48</v>
      </c>
      <c r="F7" s="83">
        <v>3064.52</v>
      </c>
      <c r="G7" s="83">
        <v>3075.23</v>
      </c>
      <c r="H7" s="83">
        <v>3171.1</v>
      </c>
      <c r="I7" s="83">
        <v>4517.58</v>
      </c>
      <c r="J7" s="79">
        <v>5196.07</v>
      </c>
      <c r="K7" s="79">
        <v>5373.49</v>
      </c>
      <c r="L7" s="81">
        <v>1727.02</v>
      </c>
      <c r="M7" s="82">
        <v>557.12</v>
      </c>
      <c r="N7" s="82">
        <v>454.9</v>
      </c>
      <c r="O7" s="82">
        <v>439.05</v>
      </c>
      <c r="P7" s="82">
        <v>423.35</v>
      </c>
      <c r="Q7" s="82">
        <v>429.37</v>
      </c>
      <c r="R7" s="82">
        <v>190.28</v>
      </c>
      <c r="S7" s="82">
        <v>55.57</v>
      </c>
      <c r="T7" s="81">
        <v>707.6</v>
      </c>
      <c r="U7" s="83">
        <v>3364.43</v>
      </c>
      <c r="V7" s="79">
        <v>7098.8</v>
      </c>
      <c r="W7" s="79">
        <v>5392.5</v>
      </c>
      <c r="X7" s="80">
        <v>9584.25</v>
      </c>
      <c r="Y7" s="80">
        <v>11626.19</v>
      </c>
      <c r="Z7" s="80">
        <v>9016.85</v>
      </c>
      <c r="AA7" s="79">
        <v>6593.98</v>
      </c>
    </row>
    <row r="8" spans="1:27" ht="19.5" customHeight="1" x14ac:dyDescent="0.25">
      <c r="A8" s="55" t="s">
        <v>39</v>
      </c>
      <c r="B8" s="56" t="s">
        <v>17</v>
      </c>
      <c r="C8" s="57">
        <v>99801.11</v>
      </c>
      <c r="D8" s="83">
        <v>2040.61</v>
      </c>
      <c r="E8" s="81">
        <v>1496.75</v>
      </c>
      <c r="F8" s="81">
        <v>1311.53</v>
      </c>
      <c r="G8" s="81">
        <v>1197.23</v>
      </c>
      <c r="H8" s="81">
        <v>802.83</v>
      </c>
      <c r="I8" s="81">
        <v>897.6</v>
      </c>
      <c r="J8" s="81">
        <v>1087.27</v>
      </c>
      <c r="K8" s="81">
        <v>822.49</v>
      </c>
      <c r="L8" s="81">
        <v>1233.1199999999999</v>
      </c>
      <c r="M8" s="83">
        <v>2381.19</v>
      </c>
      <c r="N8" s="83">
        <v>4127.3</v>
      </c>
      <c r="O8" s="79">
        <v>5372.08</v>
      </c>
      <c r="P8" s="79">
        <v>5905.86</v>
      </c>
      <c r="Q8" s="79">
        <v>7345.69</v>
      </c>
      <c r="R8" s="80">
        <v>8718.3700000000008</v>
      </c>
      <c r="S8" s="80">
        <v>9151</v>
      </c>
      <c r="T8" s="80">
        <v>10821.32</v>
      </c>
      <c r="U8" s="80">
        <v>10302.42</v>
      </c>
      <c r="V8" s="80">
        <v>9283.5400000000009</v>
      </c>
      <c r="W8" s="79">
        <v>6435.89</v>
      </c>
      <c r="X8" s="83">
        <v>2234.67</v>
      </c>
      <c r="Y8" s="83">
        <v>2028.78</v>
      </c>
      <c r="Z8" s="83">
        <v>2482.6999999999998</v>
      </c>
      <c r="AA8" s="83">
        <v>2320.87</v>
      </c>
    </row>
    <row r="9" spans="1:27" ht="19.5" customHeight="1" x14ac:dyDescent="0.25">
      <c r="A9" s="55" t="s">
        <v>280</v>
      </c>
      <c r="B9" s="56" t="s">
        <v>17</v>
      </c>
      <c r="C9" s="57">
        <v>59751.88</v>
      </c>
      <c r="D9" s="79">
        <v>2698.34</v>
      </c>
      <c r="E9" s="83">
        <v>2135.2399999999998</v>
      </c>
      <c r="F9" s="79">
        <v>2595.0300000000002</v>
      </c>
      <c r="G9" s="79">
        <v>2635.43</v>
      </c>
      <c r="H9" s="79">
        <v>2780</v>
      </c>
      <c r="I9" s="79">
        <v>2630.49</v>
      </c>
      <c r="J9" s="79">
        <v>2489.77</v>
      </c>
      <c r="K9" s="79">
        <v>2672.6</v>
      </c>
      <c r="L9" s="83">
        <v>1383.99</v>
      </c>
      <c r="M9" s="81">
        <v>642.14</v>
      </c>
      <c r="N9" s="81">
        <v>909.49</v>
      </c>
      <c r="O9" s="83">
        <v>921.82</v>
      </c>
      <c r="P9" s="81">
        <v>696.89</v>
      </c>
      <c r="Q9" s="81">
        <v>570.21</v>
      </c>
      <c r="R9" s="81">
        <v>712.37</v>
      </c>
      <c r="S9" s="83">
        <v>1204.27</v>
      </c>
      <c r="T9" s="83">
        <v>2156.75</v>
      </c>
      <c r="U9" s="79">
        <v>3398.77</v>
      </c>
      <c r="V9" s="80">
        <v>5910.35</v>
      </c>
      <c r="W9" s="80">
        <v>6139.76</v>
      </c>
      <c r="X9" s="80">
        <v>4375.1000000000004</v>
      </c>
      <c r="Y9" s="80">
        <v>4356.49</v>
      </c>
      <c r="Z9" s="79">
        <v>2805.09</v>
      </c>
      <c r="AA9" s="79">
        <v>2931.49</v>
      </c>
    </row>
    <row r="10" spans="1:27" ht="19.5" customHeight="1" x14ac:dyDescent="0.25">
      <c r="A10" s="55" t="s">
        <v>44</v>
      </c>
      <c r="B10" s="56" t="s">
        <v>17</v>
      </c>
      <c r="C10" s="57">
        <v>8701.73</v>
      </c>
      <c r="D10" s="79">
        <v>305.77</v>
      </c>
      <c r="E10" s="79">
        <v>249.86</v>
      </c>
      <c r="F10" s="83">
        <v>192.79</v>
      </c>
      <c r="G10" s="83">
        <v>152.03</v>
      </c>
      <c r="H10" s="83">
        <v>148.13999999999999</v>
      </c>
      <c r="I10" s="83">
        <v>170.43</v>
      </c>
      <c r="J10" s="83">
        <v>204.97</v>
      </c>
      <c r="K10" s="79">
        <v>284.51</v>
      </c>
      <c r="L10" s="79">
        <v>250.59</v>
      </c>
      <c r="M10" s="79">
        <v>377.52</v>
      </c>
      <c r="N10" s="80">
        <v>516.63</v>
      </c>
      <c r="O10" s="80">
        <v>532.59</v>
      </c>
      <c r="P10" s="80">
        <v>469.9</v>
      </c>
      <c r="Q10" s="80">
        <v>437.06</v>
      </c>
      <c r="R10" s="80">
        <v>463.27</v>
      </c>
      <c r="S10" s="80">
        <v>492.54</v>
      </c>
      <c r="T10" s="80">
        <v>504.42</v>
      </c>
      <c r="U10" s="80">
        <v>463.31</v>
      </c>
      <c r="V10" s="80">
        <v>543.96</v>
      </c>
      <c r="W10" s="80">
        <v>550.41</v>
      </c>
      <c r="X10" s="79">
        <v>345.63</v>
      </c>
      <c r="Y10" s="79">
        <v>311.2</v>
      </c>
      <c r="Z10" s="79">
        <v>362.19</v>
      </c>
      <c r="AA10" s="79">
        <v>372.01</v>
      </c>
    </row>
    <row r="11" spans="1:27" ht="19.5" customHeight="1" x14ac:dyDescent="0.25">
      <c r="A11" s="55" t="s">
        <v>49</v>
      </c>
      <c r="B11" s="56" t="s">
        <v>17</v>
      </c>
      <c r="C11" s="57">
        <v>56393.440000000002</v>
      </c>
      <c r="D11" s="80">
        <v>4609.8500000000004</v>
      </c>
      <c r="E11" s="80">
        <v>4522.05</v>
      </c>
      <c r="F11" s="80">
        <v>4308.79</v>
      </c>
      <c r="G11" s="80">
        <v>3904.78</v>
      </c>
      <c r="H11" s="80">
        <v>3499.42</v>
      </c>
      <c r="I11" s="79">
        <v>3088.33</v>
      </c>
      <c r="J11" s="79">
        <v>2084.5500000000002</v>
      </c>
      <c r="K11" s="83">
        <v>1380.77</v>
      </c>
      <c r="L11" s="81">
        <v>580.35</v>
      </c>
      <c r="M11" s="81">
        <v>446.24</v>
      </c>
      <c r="N11" s="83">
        <v>699.9</v>
      </c>
      <c r="O11" s="83">
        <v>787.08</v>
      </c>
      <c r="P11" s="83">
        <v>835.66</v>
      </c>
      <c r="Q11" s="83">
        <v>827.62</v>
      </c>
      <c r="R11" s="83">
        <v>821.14</v>
      </c>
      <c r="S11" s="83">
        <v>1045.78</v>
      </c>
      <c r="T11" s="83">
        <v>1090.3800000000001</v>
      </c>
      <c r="U11" s="83">
        <v>1627.47</v>
      </c>
      <c r="V11" s="83">
        <v>1704.78</v>
      </c>
      <c r="W11" s="79">
        <v>2261.65</v>
      </c>
      <c r="X11" s="79">
        <v>3222.73</v>
      </c>
      <c r="Y11" s="80">
        <v>4110.84</v>
      </c>
      <c r="Z11" s="80">
        <v>4426.32</v>
      </c>
      <c r="AA11" s="80">
        <v>4506.96</v>
      </c>
    </row>
    <row r="12" spans="1:27" ht="19.5" customHeight="1" x14ac:dyDescent="0.25">
      <c r="A12" s="55" t="s">
        <v>54</v>
      </c>
      <c r="B12" s="56" t="s">
        <v>17</v>
      </c>
      <c r="C12" s="57">
        <v>84322.9</v>
      </c>
      <c r="D12" s="81">
        <v>1311.99</v>
      </c>
      <c r="E12" s="82">
        <v>791.19</v>
      </c>
      <c r="F12" s="82">
        <v>474.4</v>
      </c>
      <c r="G12" s="82">
        <v>433.31</v>
      </c>
      <c r="H12" s="82">
        <v>368.34</v>
      </c>
      <c r="I12" s="82">
        <v>622.26</v>
      </c>
      <c r="J12" s="82">
        <v>345.87</v>
      </c>
      <c r="K12" s="82">
        <v>317.93</v>
      </c>
      <c r="L12" s="82">
        <v>262.52999999999997</v>
      </c>
      <c r="M12" s="81">
        <v>1179.02</v>
      </c>
      <c r="N12" s="81">
        <v>1305.3499999999999</v>
      </c>
      <c r="O12" s="81">
        <v>1513.93</v>
      </c>
      <c r="P12" s="81">
        <v>1433.25</v>
      </c>
      <c r="Q12" s="81">
        <v>1890.45</v>
      </c>
      <c r="R12" s="83">
        <v>3115.82</v>
      </c>
      <c r="S12" s="83">
        <v>4385.6000000000004</v>
      </c>
      <c r="T12" s="83">
        <v>5650.32</v>
      </c>
      <c r="U12" s="79">
        <v>8258.8799999999992</v>
      </c>
      <c r="V12" s="80">
        <v>13547.46</v>
      </c>
      <c r="W12" s="80">
        <v>17042.59</v>
      </c>
      <c r="X12" s="79">
        <v>8067.77</v>
      </c>
      <c r="Y12" s="79">
        <v>7311.33</v>
      </c>
      <c r="Z12" s="83">
        <v>2719.71</v>
      </c>
      <c r="AA12" s="81">
        <v>1973.6</v>
      </c>
    </row>
    <row r="13" spans="1:27" ht="19.5" customHeight="1" x14ac:dyDescent="0.25">
      <c r="A13" s="55" t="s">
        <v>64</v>
      </c>
      <c r="B13" s="56" t="s">
        <v>17</v>
      </c>
      <c r="C13" s="57">
        <v>59654.53</v>
      </c>
      <c r="D13" s="80">
        <v>5617.55</v>
      </c>
      <c r="E13" s="80">
        <v>5546.82</v>
      </c>
      <c r="F13" s="80">
        <v>4468.1099999999997</v>
      </c>
      <c r="G13" s="79">
        <v>3991.56</v>
      </c>
      <c r="H13" s="79">
        <v>3535.61</v>
      </c>
      <c r="I13" s="79">
        <v>4411.91</v>
      </c>
      <c r="J13" s="83">
        <v>1968.52</v>
      </c>
      <c r="K13" s="83">
        <v>1849.97</v>
      </c>
      <c r="L13" s="83">
        <v>1163.1099999999999</v>
      </c>
      <c r="M13" s="81">
        <v>779.73</v>
      </c>
      <c r="N13" s="81">
        <v>536.63</v>
      </c>
      <c r="O13" s="81">
        <v>449.55</v>
      </c>
      <c r="P13" s="81">
        <v>548.07000000000005</v>
      </c>
      <c r="Q13" s="81">
        <v>520.62</v>
      </c>
      <c r="R13" s="81">
        <v>541.11</v>
      </c>
      <c r="S13" s="81">
        <v>717.18</v>
      </c>
      <c r="T13" s="83">
        <v>1103.9000000000001</v>
      </c>
      <c r="U13" s="83">
        <v>1406.76</v>
      </c>
      <c r="V13" s="83">
        <v>1016.29</v>
      </c>
      <c r="W13" s="79">
        <v>2775.17</v>
      </c>
      <c r="X13" s="79">
        <v>2575.2199999999998</v>
      </c>
      <c r="Y13" s="79">
        <v>2936.22</v>
      </c>
      <c r="Z13" s="80">
        <v>4839.01</v>
      </c>
      <c r="AA13" s="80">
        <v>6355.91</v>
      </c>
    </row>
    <row r="14" spans="1:27" ht="19.5" customHeight="1" x14ac:dyDescent="0.25">
      <c r="A14" s="55" t="s">
        <v>68</v>
      </c>
      <c r="B14" s="56" t="s">
        <v>17</v>
      </c>
      <c r="C14" s="57">
        <v>31442.57</v>
      </c>
      <c r="D14" s="79">
        <v>1614.56</v>
      </c>
      <c r="E14" s="79">
        <v>1865.31</v>
      </c>
      <c r="F14" s="79">
        <v>1860.67</v>
      </c>
      <c r="G14" s="79">
        <v>1941.16</v>
      </c>
      <c r="H14" s="79">
        <v>1443.57</v>
      </c>
      <c r="I14" s="79">
        <v>1847.13</v>
      </c>
      <c r="J14" s="83">
        <v>1313.93</v>
      </c>
      <c r="K14" s="83">
        <v>1093.3</v>
      </c>
      <c r="L14" s="83">
        <v>742.74</v>
      </c>
      <c r="M14" s="81">
        <v>241.84</v>
      </c>
      <c r="N14" s="81">
        <v>424.34</v>
      </c>
      <c r="O14" s="81">
        <v>308.61</v>
      </c>
      <c r="P14" s="81">
        <v>171.39</v>
      </c>
      <c r="Q14" s="82">
        <v>27.01</v>
      </c>
      <c r="R14" s="82">
        <v>53.78</v>
      </c>
      <c r="S14" s="81">
        <v>167.27</v>
      </c>
      <c r="T14" s="83">
        <v>797.88</v>
      </c>
      <c r="U14" s="79">
        <v>1641.74</v>
      </c>
      <c r="V14" s="80">
        <v>2939.11</v>
      </c>
      <c r="W14" s="80">
        <v>2708.21</v>
      </c>
      <c r="X14" s="79">
        <v>1879.05</v>
      </c>
      <c r="Y14" s="83">
        <v>1197.21</v>
      </c>
      <c r="Z14" s="80">
        <v>3335.75</v>
      </c>
      <c r="AA14" s="79">
        <v>1827.01</v>
      </c>
    </row>
    <row r="15" spans="1:27" ht="19.5" customHeight="1" x14ac:dyDescent="0.25">
      <c r="A15" s="55" t="s">
        <v>269</v>
      </c>
      <c r="B15" s="56" t="s">
        <v>17</v>
      </c>
      <c r="C15" s="57">
        <v>37951.019999999997</v>
      </c>
      <c r="D15" s="83">
        <v>1612.49</v>
      </c>
      <c r="E15" s="83">
        <v>1294.51</v>
      </c>
      <c r="F15" s="83">
        <v>880.24</v>
      </c>
      <c r="G15" s="81">
        <v>569.87</v>
      </c>
      <c r="H15" s="81">
        <v>429.57</v>
      </c>
      <c r="I15" s="81">
        <v>453.71</v>
      </c>
      <c r="J15" s="81">
        <v>562.4</v>
      </c>
      <c r="K15" s="81">
        <v>596.74</v>
      </c>
      <c r="L15" s="81">
        <v>584.41</v>
      </c>
      <c r="M15" s="81">
        <v>659.64</v>
      </c>
      <c r="N15" s="83">
        <v>921.51</v>
      </c>
      <c r="O15" s="83">
        <v>759.11</v>
      </c>
      <c r="P15" s="83">
        <v>742.65</v>
      </c>
      <c r="Q15" s="83">
        <v>932.14</v>
      </c>
      <c r="R15" s="83">
        <v>1077.8800000000001</v>
      </c>
      <c r="S15" s="83">
        <v>1433.85</v>
      </c>
      <c r="T15" s="79">
        <v>2046.02</v>
      </c>
      <c r="U15" s="80">
        <v>3113.17</v>
      </c>
      <c r="V15" s="80">
        <v>3340.8</v>
      </c>
      <c r="W15" s="79">
        <v>3034.76</v>
      </c>
      <c r="X15" s="80">
        <v>3335.27</v>
      </c>
      <c r="Y15" s="80">
        <v>4415.43</v>
      </c>
      <c r="Z15" s="79">
        <v>2989.97</v>
      </c>
      <c r="AA15" s="79">
        <v>2164.88</v>
      </c>
    </row>
    <row r="16" spans="1:27" ht="19.5" customHeight="1" x14ac:dyDescent="0.25">
      <c r="A16" s="55" t="s">
        <v>85</v>
      </c>
      <c r="B16" s="56" t="s">
        <v>17</v>
      </c>
      <c r="C16" s="57">
        <v>33325.75</v>
      </c>
      <c r="D16" s="80">
        <v>2272.75</v>
      </c>
      <c r="E16" s="79">
        <v>1823.59</v>
      </c>
      <c r="F16" s="80">
        <v>1882.15</v>
      </c>
      <c r="G16" s="80">
        <v>1906</v>
      </c>
      <c r="H16" s="80">
        <v>1986.73</v>
      </c>
      <c r="I16" s="79">
        <v>1528.84</v>
      </c>
      <c r="J16" s="79">
        <v>1608.22</v>
      </c>
      <c r="K16" s="80">
        <v>2658.7</v>
      </c>
      <c r="L16" s="80">
        <v>2300.7399999999998</v>
      </c>
      <c r="M16" s="83">
        <v>1011.41</v>
      </c>
      <c r="N16" s="83">
        <v>656.93</v>
      </c>
      <c r="O16" s="79">
        <v>1085.99</v>
      </c>
      <c r="P16" s="83">
        <v>735.09</v>
      </c>
      <c r="Q16" s="83">
        <v>644.99</v>
      </c>
      <c r="R16" s="83">
        <v>605.74</v>
      </c>
      <c r="S16" s="83">
        <v>479.31</v>
      </c>
      <c r="T16" s="79">
        <v>1386.94</v>
      </c>
      <c r="U16" s="79">
        <v>1190.33</v>
      </c>
      <c r="V16" s="83">
        <v>825.08</v>
      </c>
      <c r="W16" s="83">
        <v>858.59</v>
      </c>
      <c r="X16" s="79">
        <v>1303.51</v>
      </c>
      <c r="Y16" s="83">
        <v>1002.98</v>
      </c>
      <c r="Z16" s="79">
        <v>1527.27</v>
      </c>
      <c r="AA16" s="80">
        <v>2043.87</v>
      </c>
    </row>
    <row r="17" spans="1:27" ht="19.5" customHeight="1" x14ac:dyDescent="0.25">
      <c r="A17" s="55" t="s">
        <v>275</v>
      </c>
      <c r="B17" s="56" t="s">
        <v>17</v>
      </c>
      <c r="C17" s="57">
        <v>32240.3</v>
      </c>
      <c r="D17" s="81">
        <v>288.26</v>
      </c>
      <c r="E17" s="81">
        <v>253.67</v>
      </c>
      <c r="F17" s="81">
        <v>253.78</v>
      </c>
      <c r="G17" s="82">
        <v>156.02000000000001</v>
      </c>
      <c r="H17" s="82">
        <v>59.26</v>
      </c>
      <c r="I17" s="82">
        <v>75.069999999999993</v>
      </c>
      <c r="J17" s="82">
        <v>205.46</v>
      </c>
      <c r="K17" s="81">
        <v>296.05</v>
      </c>
      <c r="L17" s="81">
        <v>629.96</v>
      </c>
      <c r="M17" s="83">
        <v>1399.44</v>
      </c>
      <c r="N17" s="83">
        <v>1396.89</v>
      </c>
      <c r="O17" s="79">
        <v>1976.95</v>
      </c>
      <c r="P17" s="79">
        <v>2257.87</v>
      </c>
      <c r="Q17" s="79">
        <v>2949.19</v>
      </c>
      <c r="R17" s="80">
        <v>3758.9</v>
      </c>
      <c r="S17" s="80">
        <v>4072.73</v>
      </c>
      <c r="T17" s="80">
        <v>4766.5</v>
      </c>
      <c r="U17" s="80">
        <v>4503.34</v>
      </c>
      <c r="V17" s="83">
        <v>1598.82</v>
      </c>
      <c r="W17" s="82">
        <v>233.58</v>
      </c>
      <c r="X17" s="81">
        <v>279.89</v>
      </c>
      <c r="Y17" s="82">
        <v>235.08</v>
      </c>
      <c r="Z17" s="81">
        <v>272.5</v>
      </c>
      <c r="AA17" s="81">
        <v>321.08999999999997</v>
      </c>
    </row>
    <row r="18" spans="1:27" ht="19.5" customHeight="1" x14ac:dyDescent="0.25">
      <c r="A18" s="55" t="s">
        <v>90</v>
      </c>
      <c r="B18" s="56" t="s">
        <v>17</v>
      </c>
      <c r="C18" s="57">
        <v>30989.79</v>
      </c>
      <c r="D18" s="80">
        <v>4086.86</v>
      </c>
      <c r="E18" s="80">
        <v>3745.26</v>
      </c>
      <c r="F18" s="80">
        <v>3211.53</v>
      </c>
      <c r="G18" s="80">
        <v>2996.59</v>
      </c>
      <c r="H18" s="80">
        <v>2905.08</v>
      </c>
      <c r="I18" s="79">
        <v>2210.8200000000002</v>
      </c>
      <c r="J18" s="83">
        <v>1592.44</v>
      </c>
      <c r="K18" s="83">
        <v>672.79</v>
      </c>
      <c r="L18" s="81">
        <v>254.66</v>
      </c>
      <c r="M18" s="81">
        <v>266.87</v>
      </c>
      <c r="N18" s="82">
        <v>174.72</v>
      </c>
      <c r="O18" s="82">
        <v>177.29</v>
      </c>
      <c r="P18" s="82">
        <v>145.49</v>
      </c>
      <c r="Q18" s="82">
        <v>141.08000000000001</v>
      </c>
      <c r="R18" s="82">
        <v>122.16</v>
      </c>
      <c r="S18" s="82">
        <v>83.53</v>
      </c>
      <c r="T18" s="82">
        <v>83.41</v>
      </c>
      <c r="U18" s="82">
        <v>113.11</v>
      </c>
      <c r="V18" s="81">
        <v>546.52</v>
      </c>
      <c r="W18" s="81">
        <v>356.42</v>
      </c>
      <c r="X18" s="81">
        <v>556.64</v>
      </c>
      <c r="Y18" s="83">
        <v>1059.67</v>
      </c>
      <c r="Z18" s="79">
        <v>2265.1</v>
      </c>
      <c r="AA18" s="80">
        <v>3221.75</v>
      </c>
    </row>
    <row r="19" spans="1:27" ht="19.5" customHeight="1" x14ac:dyDescent="0.25">
      <c r="A19" s="55" t="s">
        <v>93</v>
      </c>
      <c r="B19" s="56" t="s">
        <v>17</v>
      </c>
      <c r="C19" s="57">
        <v>18780.080000000002</v>
      </c>
      <c r="D19" s="79">
        <v>838.61</v>
      </c>
      <c r="E19" s="79">
        <v>708.63</v>
      </c>
      <c r="F19" s="79">
        <v>866.54</v>
      </c>
      <c r="G19" s="79">
        <v>1018.41</v>
      </c>
      <c r="H19" s="79">
        <v>1120.3900000000001</v>
      </c>
      <c r="I19" s="80">
        <v>1514.25</v>
      </c>
      <c r="J19" s="80">
        <v>1695.8</v>
      </c>
      <c r="K19" s="79">
        <v>998.7</v>
      </c>
      <c r="L19" s="79">
        <v>986.58</v>
      </c>
      <c r="M19" s="79">
        <v>974.57</v>
      </c>
      <c r="N19" s="83">
        <v>418.53</v>
      </c>
      <c r="O19" s="83">
        <v>462.55</v>
      </c>
      <c r="P19" s="83">
        <v>425.85</v>
      </c>
      <c r="Q19" s="83">
        <v>511.04</v>
      </c>
      <c r="R19" s="79">
        <v>689.88</v>
      </c>
      <c r="S19" s="83">
        <v>584.12</v>
      </c>
      <c r="T19" s="79">
        <v>1013.98</v>
      </c>
      <c r="U19" s="83">
        <v>419.11</v>
      </c>
      <c r="V19" s="83">
        <v>329.65</v>
      </c>
      <c r="W19" s="83">
        <v>344.62</v>
      </c>
      <c r="X19" s="79">
        <v>809.24</v>
      </c>
      <c r="Y19" s="79">
        <v>772.81</v>
      </c>
      <c r="Z19" s="83">
        <v>675.08</v>
      </c>
      <c r="AA19" s="83">
        <v>601.14</v>
      </c>
    </row>
    <row r="20" spans="1:27" ht="19.5" customHeight="1" x14ac:dyDescent="0.25">
      <c r="A20" s="55" t="s">
        <v>100</v>
      </c>
      <c r="B20" s="56" t="s">
        <v>101</v>
      </c>
      <c r="C20" s="57">
        <v>0</v>
      </c>
      <c r="D20" s="82"/>
      <c r="E20" s="82"/>
      <c r="F20" s="82"/>
      <c r="G20" s="82"/>
      <c r="H20" s="82"/>
      <c r="I20" s="82"/>
      <c r="J20" s="82"/>
      <c r="K20" s="82"/>
      <c r="L20" s="82"/>
      <c r="M20" s="82"/>
      <c r="N20" s="82"/>
      <c r="O20" s="82"/>
      <c r="P20" s="82"/>
      <c r="Q20" s="82"/>
      <c r="R20" s="82"/>
      <c r="S20" s="82"/>
      <c r="T20" s="82"/>
      <c r="U20" s="82"/>
      <c r="V20" s="82"/>
      <c r="W20" s="82"/>
      <c r="X20" s="82"/>
      <c r="Y20" s="82"/>
      <c r="Z20" s="82"/>
      <c r="AA20" s="82"/>
    </row>
    <row r="21" spans="1:27" ht="19.5" customHeight="1" x14ac:dyDescent="0.25">
      <c r="A21" s="65" t="s">
        <v>103</v>
      </c>
      <c r="B21" s="66" t="s">
        <v>60</v>
      </c>
      <c r="C21" s="70">
        <v>23033.53</v>
      </c>
      <c r="D21" s="82"/>
      <c r="E21" s="82"/>
      <c r="F21" s="82"/>
      <c r="G21" s="82"/>
      <c r="H21" s="82"/>
      <c r="I21" s="82"/>
      <c r="J21" s="82"/>
      <c r="K21" s="82"/>
      <c r="L21" s="81">
        <v>333.66</v>
      </c>
      <c r="M21" s="83">
        <v>1115.4000000000001</v>
      </c>
      <c r="N21" s="79">
        <v>2020.27</v>
      </c>
      <c r="O21" s="80">
        <v>2963.52</v>
      </c>
      <c r="P21" s="80">
        <v>3376.63</v>
      </c>
      <c r="Q21" s="80">
        <v>2919.27</v>
      </c>
      <c r="R21" s="80">
        <v>2602.16</v>
      </c>
      <c r="S21" s="80">
        <v>2808.89</v>
      </c>
      <c r="T21" s="80">
        <v>2593.83</v>
      </c>
      <c r="U21" s="79">
        <v>1548.22</v>
      </c>
      <c r="V21" s="83">
        <v>693.24</v>
      </c>
      <c r="W21" s="82">
        <v>58.44</v>
      </c>
      <c r="X21" s="82"/>
      <c r="Y21" s="82"/>
      <c r="Z21" s="82"/>
      <c r="AA21" s="82"/>
    </row>
    <row r="22" spans="1:27" ht="19.5" customHeight="1" x14ac:dyDescent="0.25">
      <c r="A22" s="65" t="s">
        <v>108</v>
      </c>
      <c r="B22" s="66" t="s">
        <v>60</v>
      </c>
      <c r="C22" s="70">
        <v>134306.39000000001</v>
      </c>
      <c r="D22" s="83">
        <v>2632.71</v>
      </c>
      <c r="E22" s="83">
        <v>3167.6</v>
      </c>
      <c r="F22" s="83">
        <v>3044.79</v>
      </c>
      <c r="G22" s="83">
        <v>3037.09</v>
      </c>
      <c r="H22" s="83">
        <v>3602.14</v>
      </c>
      <c r="I22" s="79">
        <v>6913.3</v>
      </c>
      <c r="J22" s="79">
        <v>8532.41</v>
      </c>
      <c r="K22" s="79">
        <v>9743.9500000000007</v>
      </c>
      <c r="L22" s="83">
        <v>5032.5200000000004</v>
      </c>
      <c r="M22" s="81">
        <v>1708.56</v>
      </c>
      <c r="N22" s="82">
        <v>673.82</v>
      </c>
      <c r="O22" s="82">
        <v>434.39</v>
      </c>
      <c r="P22" s="82">
        <v>522.02</v>
      </c>
      <c r="Q22" s="82">
        <v>268.07</v>
      </c>
      <c r="R22" s="83">
        <v>2631.71</v>
      </c>
      <c r="S22" s="81">
        <v>2097.29</v>
      </c>
      <c r="T22" s="83">
        <v>3176.64</v>
      </c>
      <c r="U22" s="79">
        <v>7733.18</v>
      </c>
      <c r="V22" s="80">
        <v>14859.49</v>
      </c>
      <c r="W22" s="80">
        <v>15436.69</v>
      </c>
      <c r="X22" s="80">
        <v>12993.3</v>
      </c>
      <c r="Y22" s="80">
        <v>11194.25</v>
      </c>
      <c r="Z22" s="79">
        <v>8358.2900000000009</v>
      </c>
      <c r="AA22" s="79">
        <v>6512.18</v>
      </c>
    </row>
    <row r="23" spans="1:27" ht="19.5" customHeight="1" x14ac:dyDescent="0.25">
      <c r="A23" s="65" t="s">
        <v>79</v>
      </c>
      <c r="B23" s="66" t="s">
        <v>60</v>
      </c>
      <c r="C23" s="70">
        <v>33834.400000000001</v>
      </c>
      <c r="D23" s="82">
        <v>1.02</v>
      </c>
      <c r="E23" s="82"/>
      <c r="F23" s="82"/>
      <c r="G23" s="82"/>
      <c r="H23" s="82"/>
      <c r="I23" s="82"/>
      <c r="J23" s="82"/>
      <c r="K23" s="82"/>
      <c r="L23" s="82">
        <v>93.47</v>
      </c>
      <c r="M23" s="81">
        <v>583.51</v>
      </c>
      <c r="N23" s="83">
        <v>1310.42</v>
      </c>
      <c r="O23" s="83">
        <v>2267.37</v>
      </c>
      <c r="P23" s="80">
        <v>4378.74</v>
      </c>
      <c r="Q23" s="79">
        <v>4131.0600000000004</v>
      </c>
      <c r="R23" s="80">
        <v>4376.04</v>
      </c>
      <c r="S23" s="80">
        <v>5652.8</v>
      </c>
      <c r="T23" s="80">
        <v>6104.37</v>
      </c>
      <c r="U23" s="79">
        <v>4051.3</v>
      </c>
      <c r="V23" s="81">
        <v>867.58</v>
      </c>
      <c r="W23" s="82">
        <v>16.72</v>
      </c>
      <c r="X23" s="82"/>
      <c r="Y23" s="82"/>
      <c r="Z23" s="82"/>
      <c r="AA23" s="82"/>
    </row>
    <row r="24" spans="1:27" ht="19.5" customHeight="1" x14ac:dyDescent="0.25">
      <c r="A24" s="65" t="s">
        <v>59</v>
      </c>
      <c r="B24" s="66" t="s">
        <v>60</v>
      </c>
      <c r="C24" s="70">
        <v>49238.51</v>
      </c>
      <c r="D24" s="82"/>
      <c r="E24" s="82"/>
      <c r="F24" s="82"/>
      <c r="G24" s="82"/>
      <c r="H24" s="82"/>
      <c r="I24" s="82"/>
      <c r="J24" s="82">
        <v>105.29</v>
      </c>
      <c r="K24" s="81">
        <v>407.76</v>
      </c>
      <c r="L24" s="81">
        <v>596.71</v>
      </c>
      <c r="M24" s="83">
        <v>1520.39</v>
      </c>
      <c r="N24" s="83">
        <v>2233.12</v>
      </c>
      <c r="O24" s="79">
        <v>3432.43</v>
      </c>
      <c r="P24" s="80">
        <v>4606.3900000000003</v>
      </c>
      <c r="Q24" s="80">
        <v>5094.25</v>
      </c>
      <c r="R24" s="80">
        <v>5834.43</v>
      </c>
      <c r="S24" s="80">
        <v>5859.12</v>
      </c>
      <c r="T24" s="80">
        <v>6010.54</v>
      </c>
      <c r="U24" s="80">
        <v>6255.62</v>
      </c>
      <c r="V24" s="80">
        <v>4731.67</v>
      </c>
      <c r="W24" s="83">
        <v>2377.63</v>
      </c>
      <c r="X24" s="82">
        <v>173.16</v>
      </c>
      <c r="Y24" s="82"/>
      <c r="Z24" s="82"/>
      <c r="AA24" s="82"/>
    </row>
    <row r="25" spans="1:27" ht="19.5" customHeight="1" x14ac:dyDescent="0.25">
      <c r="A25" s="65" t="s">
        <v>113</v>
      </c>
      <c r="B25" s="66" t="s">
        <v>60</v>
      </c>
      <c r="C25" s="70">
        <v>266579.96000000002</v>
      </c>
      <c r="D25" s="83">
        <v>9373.7999999999993</v>
      </c>
      <c r="E25" s="83">
        <v>9871.73</v>
      </c>
      <c r="F25" s="83">
        <v>9413.4699999999993</v>
      </c>
      <c r="G25" s="79">
        <v>11832.5</v>
      </c>
      <c r="H25" s="79">
        <v>12975.74</v>
      </c>
      <c r="I25" s="79">
        <v>12869.99</v>
      </c>
      <c r="J25" s="79">
        <v>13338.17</v>
      </c>
      <c r="K25" s="79">
        <v>11749.25</v>
      </c>
      <c r="L25" s="83">
        <v>5067.1099999999997</v>
      </c>
      <c r="M25" s="81">
        <v>3738.85</v>
      </c>
      <c r="N25" s="81">
        <v>3417.93</v>
      </c>
      <c r="O25" s="81">
        <v>3017.02</v>
      </c>
      <c r="P25" s="81">
        <v>3405.03</v>
      </c>
      <c r="Q25" s="81">
        <v>3827.47</v>
      </c>
      <c r="R25" s="83">
        <v>4683.5200000000004</v>
      </c>
      <c r="S25" s="83">
        <v>5228.6899999999996</v>
      </c>
      <c r="T25" s="83">
        <v>6950.44</v>
      </c>
      <c r="U25" s="79">
        <v>10822.07</v>
      </c>
      <c r="V25" s="80">
        <v>22395.26</v>
      </c>
      <c r="W25" s="80">
        <v>23860.37</v>
      </c>
      <c r="X25" s="80">
        <v>26134.15</v>
      </c>
      <c r="Y25" s="80">
        <v>25904.33</v>
      </c>
      <c r="Z25" s="79">
        <v>16141.9</v>
      </c>
      <c r="AA25" s="79">
        <v>10561.17</v>
      </c>
    </row>
    <row r="26" spans="1:27" ht="19.5" customHeight="1" x14ac:dyDescent="0.25">
      <c r="A26" s="65" t="s">
        <v>73</v>
      </c>
      <c r="B26" s="66" t="s">
        <v>60</v>
      </c>
      <c r="C26" s="70">
        <v>14861.86</v>
      </c>
      <c r="D26" s="82">
        <v>4.5</v>
      </c>
      <c r="E26" s="82">
        <v>1.31</v>
      </c>
      <c r="F26" s="82">
        <v>1.9</v>
      </c>
      <c r="G26" s="82"/>
      <c r="H26" s="81">
        <v>405.43</v>
      </c>
      <c r="I26" s="82">
        <v>13.12</v>
      </c>
      <c r="J26" s="82"/>
      <c r="K26" s="82"/>
      <c r="L26" s="82"/>
      <c r="M26" s="82">
        <v>18.68</v>
      </c>
      <c r="N26" s="82">
        <v>72.17</v>
      </c>
      <c r="O26" s="82">
        <v>128.38</v>
      </c>
      <c r="P26" s="81">
        <v>434.43</v>
      </c>
      <c r="Q26" s="83">
        <v>1025.0899999999999</v>
      </c>
      <c r="R26" s="79">
        <v>1775.1</v>
      </c>
      <c r="S26" s="80">
        <v>2729.23</v>
      </c>
      <c r="T26" s="80">
        <v>3263.9</v>
      </c>
      <c r="U26" s="80">
        <v>3193.1</v>
      </c>
      <c r="V26" s="79">
        <v>1504.84</v>
      </c>
      <c r="W26" s="81">
        <v>274.5</v>
      </c>
      <c r="X26" s="82">
        <v>10.53</v>
      </c>
      <c r="Y26" s="82"/>
      <c r="Z26" s="82">
        <v>4.04</v>
      </c>
      <c r="AA26" s="82">
        <v>1.61</v>
      </c>
    </row>
    <row r="27" spans="1:27" ht="19.5" customHeight="1" x14ac:dyDescent="0.25">
      <c r="A27" s="65" t="s">
        <v>118</v>
      </c>
      <c r="B27" s="66" t="s">
        <v>60</v>
      </c>
      <c r="C27" s="70">
        <v>57961.31</v>
      </c>
      <c r="D27" s="82"/>
      <c r="E27" s="82"/>
      <c r="F27" s="82"/>
      <c r="G27" s="82"/>
      <c r="H27" s="82"/>
      <c r="I27" s="82"/>
      <c r="J27" s="82"/>
      <c r="K27" s="82">
        <v>19.02</v>
      </c>
      <c r="L27" s="82">
        <v>243.15</v>
      </c>
      <c r="M27" s="83">
        <v>1567.33</v>
      </c>
      <c r="N27" s="83">
        <v>2907.55</v>
      </c>
      <c r="O27" s="83">
        <v>3372.99</v>
      </c>
      <c r="P27" s="79">
        <v>5123.2</v>
      </c>
      <c r="Q27" s="80">
        <v>6627.85</v>
      </c>
      <c r="R27" s="80">
        <v>7603.35</v>
      </c>
      <c r="S27" s="80">
        <v>8854.5400000000009</v>
      </c>
      <c r="T27" s="80">
        <v>7704.46</v>
      </c>
      <c r="U27" s="80">
        <v>8180.35</v>
      </c>
      <c r="V27" s="79">
        <v>5757.52</v>
      </c>
      <c r="W27" s="82"/>
      <c r="X27" s="82"/>
      <c r="Y27" s="82"/>
      <c r="Z27" s="82"/>
      <c r="AA27" s="82"/>
    </row>
    <row r="28" spans="1:27" ht="19.5" customHeight="1" x14ac:dyDescent="0.25">
      <c r="A28" s="65" t="s">
        <v>123</v>
      </c>
      <c r="B28" s="66" t="s">
        <v>60</v>
      </c>
      <c r="C28" s="70">
        <v>20645.72</v>
      </c>
      <c r="D28" s="79">
        <v>1099.23</v>
      </c>
      <c r="E28" s="79">
        <v>1401.06</v>
      </c>
      <c r="F28" s="80">
        <v>1751.5</v>
      </c>
      <c r="G28" s="80">
        <v>1826.9</v>
      </c>
      <c r="H28" s="80">
        <v>2151.59</v>
      </c>
      <c r="I28" s="80">
        <v>1942.22</v>
      </c>
      <c r="J28" s="79">
        <v>1414.12</v>
      </c>
      <c r="K28" s="80">
        <v>1533.12</v>
      </c>
      <c r="L28" s="83">
        <v>854.4</v>
      </c>
      <c r="M28" s="81">
        <v>112.26</v>
      </c>
      <c r="N28" s="82">
        <v>84.83</v>
      </c>
      <c r="O28" s="82">
        <v>55.38</v>
      </c>
      <c r="P28" s="82">
        <v>57.12</v>
      </c>
      <c r="Q28" s="82">
        <v>53.85</v>
      </c>
      <c r="R28" s="82">
        <v>92.8</v>
      </c>
      <c r="S28" s="82">
        <v>41.21</v>
      </c>
      <c r="T28" s="81">
        <v>131.4</v>
      </c>
      <c r="U28" s="82">
        <v>82.22</v>
      </c>
      <c r="V28" s="81">
        <v>151.13999999999999</v>
      </c>
      <c r="W28" s="83">
        <v>465.94</v>
      </c>
      <c r="X28" s="79">
        <v>997.42</v>
      </c>
      <c r="Y28" s="79">
        <v>1365.76</v>
      </c>
      <c r="Z28" s="80">
        <v>1634.32</v>
      </c>
      <c r="AA28" s="79">
        <v>1345.93</v>
      </c>
    </row>
    <row r="29" spans="1:27" ht="19.5" customHeight="1" x14ac:dyDescent="0.25">
      <c r="A29" s="65" t="s">
        <v>128</v>
      </c>
      <c r="B29" s="66" t="s">
        <v>60</v>
      </c>
      <c r="C29" s="70">
        <v>14200.33</v>
      </c>
      <c r="D29" s="79">
        <v>625.15</v>
      </c>
      <c r="E29" s="83">
        <v>553.62</v>
      </c>
      <c r="F29" s="83">
        <v>320.19</v>
      </c>
      <c r="G29" s="83">
        <v>364.32</v>
      </c>
      <c r="H29" s="83">
        <v>582.27</v>
      </c>
      <c r="I29" s="81">
        <v>201.81</v>
      </c>
      <c r="J29" s="82">
        <v>66.599999999999994</v>
      </c>
      <c r="K29" s="81">
        <v>75</v>
      </c>
      <c r="L29" s="81">
        <v>165.94</v>
      </c>
      <c r="M29" s="79">
        <v>672.82</v>
      </c>
      <c r="N29" s="79">
        <v>846.51</v>
      </c>
      <c r="O29" s="79">
        <v>593.15</v>
      </c>
      <c r="P29" s="83">
        <v>501.89</v>
      </c>
      <c r="Q29" s="81">
        <v>220.39</v>
      </c>
      <c r="R29" s="83">
        <v>231.33</v>
      </c>
      <c r="S29" s="79">
        <v>799.32</v>
      </c>
      <c r="T29" s="79">
        <v>766.59</v>
      </c>
      <c r="U29" s="79">
        <v>771.24</v>
      </c>
      <c r="V29" s="83">
        <v>366.03</v>
      </c>
      <c r="W29" s="80">
        <v>1396.82</v>
      </c>
      <c r="X29" s="80">
        <v>1474.42</v>
      </c>
      <c r="Y29" s="79">
        <v>996.72</v>
      </c>
      <c r="Z29" s="79">
        <v>888.65</v>
      </c>
      <c r="AA29" s="79">
        <v>719.55</v>
      </c>
    </row>
    <row r="30" spans="1:27" ht="19.5" customHeight="1" x14ac:dyDescent="0.25">
      <c r="A30" s="65" t="s">
        <v>133</v>
      </c>
      <c r="B30" s="66" t="s">
        <v>60</v>
      </c>
      <c r="C30" s="70">
        <v>26156.41</v>
      </c>
      <c r="D30" s="82"/>
      <c r="E30" s="82"/>
      <c r="F30" s="82"/>
      <c r="G30" s="82"/>
      <c r="H30" s="82"/>
      <c r="I30" s="82"/>
      <c r="J30" s="82"/>
      <c r="K30" s="82"/>
      <c r="L30" s="82">
        <v>51.2</v>
      </c>
      <c r="M30" s="83">
        <v>888.78</v>
      </c>
      <c r="N30" s="79">
        <v>1963.97</v>
      </c>
      <c r="O30" s="80">
        <v>3301.9</v>
      </c>
      <c r="P30" s="80">
        <v>3954.66</v>
      </c>
      <c r="Q30" s="80">
        <v>3422.34</v>
      </c>
      <c r="R30" s="80">
        <v>3690.71</v>
      </c>
      <c r="S30" s="80">
        <v>3977.51</v>
      </c>
      <c r="T30" s="80">
        <v>3264.92</v>
      </c>
      <c r="U30" s="83">
        <v>1465.73</v>
      </c>
      <c r="V30" s="82">
        <v>173.85</v>
      </c>
      <c r="W30" s="82">
        <v>0.84</v>
      </c>
      <c r="X30" s="82"/>
      <c r="Y30" s="82"/>
      <c r="Z30" s="82"/>
      <c r="AA30" s="82"/>
    </row>
    <row r="31" spans="1:27" ht="19.5" customHeight="1" x14ac:dyDescent="0.25">
      <c r="A31" s="65" t="s">
        <v>138</v>
      </c>
      <c r="B31" s="66" t="s">
        <v>60</v>
      </c>
      <c r="C31" s="70">
        <v>32915.57</v>
      </c>
      <c r="D31" s="81">
        <v>462.62</v>
      </c>
      <c r="E31" s="82">
        <v>1.95</v>
      </c>
      <c r="F31" s="82">
        <v>37.28</v>
      </c>
      <c r="G31" s="82">
        <v>31.56</v>
      </c>
      <c r="H31" s="81">
        <v>429.36</v>
      </c>
      <c r="I31" s="82">
        <v>146.9</v>
      </c>
      <c r="J31" s="81">
        <v>338.39</v>
      </c>
      <c r="K31" s="80">
        <v>3483.54</v>
      </c>
      <c r="L31" s="79">
        <v>2612.7399999999998</v>
      </c>
      <c r="M31" s="83">
        <v>1263.97</v>
      </c>
      <c r="N31" s="83">
        <v>760.92</v>
      </c>
      <c r="O31" s="82"/>
      <c r="P31" s="82"/>
      <c r="Q31" s="82"/>
      <c r="R31" s="82"/>
      <c r="S31" s="82"/>
      <c r="T31" s="82"/>
      <c r="U31" s="80">
        <v>4537.22</v>
      </c>
      <c r="V31" s="80">
        <v>4802.99</v>
      </c>
      <c r="W31" s="79">
        <v>2138.2399999999998</v>
      </c>
      <c r="X31" s="79">
        <v>2877.97</v>
      </c>
      <c r="Y31" s="80">
        <v>3484.48</v>
      </c>
      <c r="Z31" s="80">
        <v>3507.62</v>
      </c>
      <c r="AA31" s="79">
        <v>1997.82</v>
      </c>
    </row>
    <row r="32" spans="1:27" ht="19.5" customHeight="1" x14ac:dyDescent="0.25">
      <c r="A32" s="65" t="s">
        <v>143</v>
      </c>
      <c r="B32" s="66" t="s">
        <v>60</v>
      </c>
      <c r="C32" s="70">
        <v>42121</v>
      </c>
      <c r="D32" s="80">
        <v>2347.35</v>
      </c>
      <c r="E32" s="80">
        <v>2481.1999999999998</v>
      </c>
      <c r="F32" s="80">
        <v>2411.8200000000002</v>
      </c>
      <c r="G32" s="80">
        <v>2213.21</v>
      </c>
      <c r="H32" s="79">
        <v>1980.95</v>
      </c>
      <c r="I32" s="79">
        <v>1981.37</v>
      </c>
      <c r="J32" s="79">
        <v>1947.01</v>
      </c>
      <c r="K32" s="80">
        <v>2348.6799999999998</v>
      </c>
      <c r="L32" s="79">
        <v>1511.67</v>
      </c>
      <c r="M32" s="79">
        <v>1248.43</v>
      </c>
      <c r="N32" s="83">
        <v>914.67</v>
      </c>
      <c r="O32" s="83">
        <v>717.31</v>
      </c>
      <c r="P32" s="83">
        <v>672.93</v>
      </c>
      <c r="Q32" s="83">
        <v>710.72</v>
      </c>
      <c r="R32" s="83">
        <v>569.05999999999995</v>
      </c>
      <c r="S32" s="81">
        <v>446.46</v>
      </c>
      <c r="T32" s="83">
        <v>759.77</v>
      </c>
      <c r="U32" s="79">
        <v>1327.29</v>
      </c>
      <c r="V32" s="80">
        <v>2327.88</v>
      </c>
      <c r="W32" s="80">
        <v>2284.31</v>
      </c>
      <c r="X32" s="80">
        <v>2469.9</v>
      </c>
      <c r="Y32" s="80">
        <v>3094.09</v>
      </c>
      <c r="Z32" s="80">
        <v>2879.17</v>
      </c>
      <c r="AA32" s="80">
        <v>2475.75</v>
      </c>
    </row>
    <row r="33" spans="1:27" ht="19.5" customHeight="1" x14ac:dyDescent="0.25">
      <c r="A33" s="65" t="s">
        <v>148</v>
      </c>
      <c r="B33" s="66" t="s">
        <v>60</v>
      </c>
      <c r="C33" s="70">
        <v>20889.84</v>
      </c>
      <c r="D33" s="82"/>
      <c r="E33" s="82"/>
      <c r="F33" s="82"/>
      <c r="G33" s="82"/>
      <c r="H33" s="82"/>
      <c r="I33" s="82"/>
      <c r="J33" s="82"/>
      <c r="K33" s="82"/>
      <c r="L33" s="81">
        <v>317.47000000000003</v>
      </c>
      <c r="M33" s="80">
        <v>2511.1799999999998</v>
      </c>
      <c r="N33" s="80">
        <v>3425.87</v>
      </c>
      <c r="O33" s="80">
        <v>3383.89</v>
      </c>
      <c r="P33" s="80">
        <v>3195.6</v>
      </c>
      <c r="Q33" s="80">
        <v>2827.63</v>
      </c>
      <c r="R33" s="79">
        <v>2197.21</v>
      </c>
      <c r="S33" s="79">
        <v>1730.95</v>
      </c>
      <c r="T33" s="83">
        <v>785.61</v>
      </c>
      <c r="U33" s="81">
        <v>394.73</v>
      </c>
      <c r="V33" s="82">
        <v>119.7</v>
      </c>
      <c r="W33" s="82"/>
      <c r="X33" s="82"/>
      <c r="Y33" s="82"/>
      <c r="Z33" s="82"/>
      <c r="AA33" s="82"/>
    </row>
    <row r="34" spans="1:27" ht="19.5" customHeight="1" x14ac:dyDescent="0.25">
      <c r="A34" s="65" t="s">
        <v>154</v>
      </c>
      <c r="B34" s="66" t="s">
        <v>60</v>
      </c>
      <c r="C34" s="70">
        <v>18278.189999999999</v>
      </c>
      <c r="D34" s="81">
        <v>184.3</v>
      </c>
      <c r="E34" s="82">
        <v>145.59</v>
      </c>
      <c r="F34" s="82">
        <v>123.73</v>
      </c>
      <c r="G34" s="82">
        <v>127</v>
      </c>
      <c r="H34" s="82">
        <v>33.79</v>
      </c>
      <c r="I34" s="82">
        <v>73.400000000000006</v>
      </c>
      <c r="J34" s="82">
        <v>147.31</v>
      </c>
      <c r="K34" s="82">
        <v>100.89</v>
      </c>
      <c r="L34" s="82">
        <v>17.41</v>
      </c>
      <c r="M34" s="81">
        <v>171.62</v>
      </c>
      <c r="N34" s="81">
        <v>276.95</v>
      </c>
      <c r="O34" s="83">
        <v>617.72</v>
      </c>
      <c r="P34" s="83">
        <v>1018.32</v>
      </c>
      <c r="Q34" s="79">
        <v>1359.94</v>
      </c>
      <c r="R34" s="79">
        <v>1815.76</v>
      </c>
      <c r="S34" s="79">
        <v>2318.5300000000002</v>
      </c>
      <c r="T34" s="80">
        <v>3327.37</v>
      </c>
      <c r="U34" s="80">
        <v>2557.19</v>
      </c>
      <c r="V34" s="79">
        <v>1668.52</v>
      </c>
      <c r="W34" s="83">
        <v>1087.54</v>
      </c>
      <c r="X34" s="81">
        <v>314.60000000000002</v>
      </c>
      <c r="Y34" s="81">
        <v>320.98</v>
      </c>
      <c r="Z34" s="81">
        <v>258.74</v>
      </c>
      <c r="AA34" s="81">
        <v>210.99</v>
      </c>
    </row>
    <row r="35" spans="1:27" ht="19.5" customHeight="1" x14ac:dyDescent="0.25">
      <c r="A35" s="65" t="s">
        <v>159</v>
      </c>
      <c r="B35" s="66" t="s">
        <v>60</v>
      </c>
      <c r="C35" s="70">
        <v>8553.5</v>
      </c>
      <c r="D35" s="80">
        <v>690.68</v>
      </c>
      <c r="E35" s="80">
        <v>913.32</v>
      </c>
      <c r="F35" s="79">
        <v>566.36</v>
      </c>
      <c r="G35" s="80">
        <v>692.95</v>
      </c>
      <c r="H35" s="80">
        <v>655.64</v>
      </c>
      <c r="I35" s="79">
        <v>433.52</v>
      </c>
      <c r="J35" s="83">
        <v>312.18</v>
      </c>
      <c r="K35" s="83">
        <v>185.38</v>
      </c>
      <c r="L35" s="83">
        <v>138.07</v>
      </c>
      <c r="M35" s="83">
        <v>180.76</v>
      </c>
      <c r="N35" s="83">
        <v>218.65</v>
      </c>
      <c r="O35" s="83">
        <v>141.86000000000001</v>
      </c>
      <c r="P35" s="81">
        <v>50.81</v>
      </c>
      <c r="Q35" s="81">
        <v>46.44</v>
      </c>
      <c r="R35" s="81">
        <v>65.94</v>
      </c>
      <c r="S35" s="81">
        <v>55.31</v>
      </c>
      <c r="T35" s="82">
        <v>4.46</v>
      </c>
      <c r="U35" s="83">
        <v>318.76</v>
      </c>
      <c r="V35" s="79">
        <v>393.73</v>
      </c>
      <c r="W35" s="83">
        <v>267.11</v>
      </c>
      <c r="X35" s="79">
        <v>481.63</v>
      </c>
      <c r="Y35" s="79">
        <v>609.66999999999996</v>
      </c>
      <c r="Z35" s="79">
        <v>513.09</v>
      </c>
      <c r="AA35" s="79">
        <v>617.17999999999995</v>
      </c>
    </row>
    <row r="36" spans="1:27" ht="19.5" customHeight="1" x14ac:dyDescent="0.25">
      <c r="A36" s="65" t="s">
        <v>165</v>
      </c>
      <c r="B36" s="66" t="s">
        <v>60</v>
      </c>
      <c r="C36" s="70">
        <v>14519.92</v>
      </c>
      <c r="D36" s="80">
        <v>1371.62</v>
      </c>
      <c r="E36" s="80">
        <v>1628.62</v>
      </c>
      <c r="F36" s="80">
        <v>1351.71</v>
      </c>
      <c r="G36" s="79">
        <v>1066.23</v>
      </c>
      <c r="H36" s="79">
        <v>925.01</v>
      </c>
      <c r="I36" s="83">
        <v>592</v>
      </c>
      <c r="J36" s="79">
        <v>680.58</v>
      </c>
      <c r="K36" s="83">
        <v>541.95000000000005</v>
      </c>
      <c r="L36" s="83">
        <v>414.63</v>
      </c>
      <c r="M36" s="81">
        <v>170.11</v>
      </c>
      <c r="N36" s="81">
        <v>141.41999999999999</v>
      </c>
      <c r="O36" s="82">
        <v>54.33</v>
      </c>
      <c r="P36" s="82">
        <v>13.92</v>
      </c>
      <c r="Q36" s="82">
        <v>29.66</v>
      </c>
      <c r="R36" s="82">
        <v>28.3</v>
      </c>
      <c r="S36" s="82">
        <v>53.84</v>
      </c>
      <c r="T36" s="82">
        <v>74.95</v>
      </c>
      <c r="U36" s="81">
        <v>190.22</v>
      </c>
      <c r="V36" s="83">
        <v>636.63</v>
      </c>
      <c r="W36" s="83">
        <v>646.34</v>
      </c>
      <c r="X36" s="83">
        <v>541.79</v>
      </c>
      <c r="Y36" s="79">
        <v>708.72</v>
      </c>
      <c r="Z36" s="80">
        <v>1178.57</v>
      </c>
      <c r="AA36" s="80">
        <v>1478.77</v>
      </c>
    </row>
    <row r="37" spans="1:27" ht="19.5" customHeight="1" x14ac:dyDescent="0.25">
      <c r="A37" s="65" t="s">
        <v>90</v>
      </c>
      <c r="B37" s="66" t="s">
        <v>60</v>
      </c>
      <c r="C37" s="70">
        <v>30989.79</v>
      </c>
      <c r="D37" s="80">
        <v>4086.86</v>
      </c>
      <c r="E37" s="80">
        <v>3745.26</v>
      </c>
      <c r="F37" s="80">
        <v>3211.53</v>
      </c>
      <c r="G37" s="80">
        <v>2996.59</v>
      </c>
      <c r="H37" s="80">
        <v>2905.08</v>
      </c>
      <c r="I37" s="79">
        <v>2210.8200000000002</v>
      </c>
      <c r="J37" s="83">
        <v>1592.44</v>
      </c>
      <c r="K37" s="83">
        <v>672.79</v>
      </c>
      <c r="L37" s="81">
        <v>254.66</v>
      </c>
      <c r="M37" s="81">
        <v>266.87</v>
      </c>
      <c r="N37" s="82">
        <v>174.72</v>
      </c>
      <c r="O37" s="82">
        <v>177.29</v>
      </c>
      <c r="P37" s="82">
        <v>145.49</v>
      </c>
      <c r="Q37" s="82">
        <v>141.08000000000001</v>
      </c>
      <c r="R37" s="82">
        <v>122.16</v>
      </c>
      <c r="S37" s="82">
        <v>83.53</v>
      </c>
      <c r="T37" s="82">
        <v>83.41</v>
      </c>
      <c r="U37" s="82">
        <v>113.11</v>
      </c>
      <c r="V37" s="81">
        <v>546.52</v>
      </c>
      <c r="W37" s="81">
        <v>356.42</v>
      </c>
      <c r="X37" s="81">
        <v>556.64</v>
      </c>
      <c r="Y37" s="83">
        <v>1059.67</v>
      </c>
      <c r="Z37" s="79">
        <v>2265.1</v>
      </c>
      <c r="AA37" s="80">
        <v>3221.75</v>
      </c>
    </row>
    <row r="38" spans="1:27" ht="19.5" customHeight="1" x14ac:dyDescent="0.25">
      <c r="A38" s="65" t="s">
        <v>172</v>
      </c>
      <c r="B38" s="66" t="s">
        <v>60</v>
      </c>
      <c r="C38" s="70">
        <v>93639.82</v>
      </c>
      <c r="D38" s="80">
        <v>8003.2</v>
      </c>
      <c r="E38" s="80">
        <v>7850.59</v>
      </c>
      <c r="F38" s="80">
        <v>7882.16</v>
      </c>
      <c r="G38" s="80">
        <v>7830.67</v>
      </c>
      <c r="H38" s="80">
        <v>7086.51</v>
      </c>
      <c r="I38" s="80">
        <v>7565.07</v>
      </c>
      <c r="J38" s="80">
        <v>5873.66</v>
      </c>
      <c r="K38" s="79">
        <v>5270.89</v>
      </c>
      <c r="L38" s="79">
        <v>3777.6</v>
      </c>
      <c r="M38" s="79">
        <v>3998.96</v>
      </c>
      <c r="N38" s="83">
        <v>1519.44</v>
      </c>
      <c r="O38" s="81">
        <v>620.13</v>
      </c>
      <c r="P38" s="82">
        <v>308.08999999999997</v>
      </c>
      <c r="Q38" s="82">
        <v>216.82</v>
      </c>
      <c r="R38" s="82">
        <v>235.11</v>
      </c>
      <c r="S38" s="82">
        <v>297.52</v>
      </c>
      <c r="T38" s="82">
        <v>162.86000000000001</v>
      </c>
      <c r="U38" s="82">
        <v>289.44</v>
      </c>
      <c r="V38" s="81">
        <v>744.93</v>
      </c>
      <c r="W38" s="83">
        <v>1399.59</v>
      </c>
      <c r="X38" s="83">
        <v>2948.97</v>
      </c>
      <c r="Y38" s="79">
        <v>4632.99</v>
      </c>
      <c r="Z38" s="80">
        <v>7845.21</v>
      </c>
      <c r="AA38" s="80">
        <v>7279.41</v>
      </c>
    </row>
    <row r="39" spans="1:27" ht="19.5" customHeight="1" x14ac:dyDescent="0.25">
      <c r="A39" s="65" t="s">
        <v>176</v>
      </c>
      <c r="B39" s="66" t="s">
        <v>60</v>
      </c>
      <c r="C39" s="70">
        <v>79252.55</v>
      </c>
      <c r="D39" s="80">
        <v>11497.71</v>
      </c>
      <c r="E39" s="80">
        <v>8541.15</v>
      </c>
      <c r="F39" s="79">
        <v>6992.86</v>
      </c>
      <c r="G39" s="80">
        <v>9570.23</v>
      </c>
      <c r="H39" s="79">
        <v>7538.91</v>
      </c>
      <c r="I39" s="79">
        <v>6370.11</v>
      </c>
      <c r="J39" s="83">
        <v>2965.11</v>
      </c>
      <c r="K39" s="82"/>
      <c r="L39" s="82"/>
      <c r="M39" s="82">
        <v>16.54</v>
      </c>
      <c r="N39" s="82">
        <v>107.66</v>
      </c>
      <c r="O39" s="83">
        <v>2073.3200000000002</v>
      </c>
      <c r="P39" s="81">
        <v>1309.31</v>
      </c>
      <c r="Q39" s="82">
        <v>36.119999999999997</v>
      </c>
      <c r="R39" s="82">
        <v>47.38</v>
      </c>
      <c r="S39" s="82">
        <v>12.75</v>
      </c>
      <c r="T39" s="82">
        <v>27.2</v>
      </c>
      <c r="U39" s="82"/>
      <c r="V39" s="82"/>
      <c r="W39" s="82">
        <v>445.87</v>
      </c>
      <c r="X39" s="83">
        <v>2970.27</v>
      </c>
      <c r="Y39" s="79">
        <v>5165.6499999999996</v>
      </c>
      <c r="Z39" s="79">
        <v>4968.28</v>
      </c>
      <c r="AA39" s="80">
        <v>8596.1200000000008</v>
      </c>
    </row>
    <row r="40" spans="1:27" ht="19.5" customHeight="1" x14ac:dyDescent="0.25">
      <c r="A40" s="65" t="s">
        <v>181</v>
      </c>
      <c r="B40" s="66" t="s">
        <v>60</v>
      </c>
      <c r="C40" s="70">
        <v>263224.34000000003</v>
      </c>
      <c r="D40" s="80">
        <v>15349.56</v>
      </c>
      <c r="E40" s="79">
        <v>13677.75</v>
      </c>
      <c r="F40" s="79">
        <v>10694.08</v>
      </c>
      <c r="G40" s="79">
        <v>13676.63</v>
      </c>
      <c r="H40" s="80">
        <v>17442.36</v>
      </c>
      <c r="I40" s="80">
        <v>15548.45</v>
      </c>
      <c r="J40" s="79">
        <v>13837.84</v>
      </c>
      <c r="K40" s="79">
        <v>11473.16</v>
      </c>
      <c r="L40" s="83">
        <v>7595.51</v>
      </c>
      <c r="M40" s="83">
        <v>5881.32</v>
      </c>
      <c r="N40" s="81">
        <v>2295.36</v>
      </c>
      <c r="O40" s="83">
        <v>3318.81</v>
      </c>
      <c r="P40" s="83">
        <v>4311.3</v>
      </c>
      <c r="Q40" s="83">
        <v>5461.83</v>
      </c>
      <c r="R40" s="83">
        <v>5240.6099999999997</v>
      </c>
      <c r="S40" s="83">
        <v>6049.19</v>
      </c>
      <c r="T40" s="83">
        <v>4767.3900000000003</v>
      </c>
      <c r="U40" s="79">
        <v>8401.5499999999993</v>
      </c>
      <c r="V40" s="79">
        <v>10321.950000000001</v>
      </c>
      <c r="W40" s="79">
        <v>13538.32</v>
      </c>
      <c r="X40" s="80">
        <v>17831.16</v>
      </c>
      <c r="Y40" s="80">
        <v>19291.419999999998</v>
      </c>
      <c r="Z40" s="80">
        <v>20074.73</v>
      </c>
      <c r="AA40" s="80">
        <v>17144.060000000001</v>
      </c>
    </row>
    <row r="41" spans="1:27" ht="19.5" customHeight="1" x14ac:dyDescent="0.25">
      <c r="A41" s="65" t="s">
        <v>186</v>
      </c>
      <c r="B41" s="66" t="s">
        <v>60</v>
      </c>
      <c r="C41" s="70">
        <v>66977.23</v>
      </c>
      <c r="D41" s="80">
        <v>7020.09</v>
      </c>
      <c r="E41" s="80">
        <v>6266.66</v>
      </c>
      <c r="F41" s="80">
        <v>4919.49</v>
      </c>
      <c r="G41" s="79">
        <v>4259.09</v>
      </c>
      <c r="H41" s="79">
        <v>3567.73</v>
      </c>
      <c r="I41" s="79">
        <v>3435.13</v>
      </c>
      <c r="J41" s="79">
        <v>2862.97</v>
      </c>
      <c r="K41" s="83">
        <v>2765.02</v>
      </c>
      <c r="L41" s="83">
        <v>1893.86</v>
      </c>
      <c r="M41" s="82">
        <v>249.79</v>
      </c>
      <c r="N41" s="81">
        <v>689.63</v>
      </c>
      <c r="O41" s="81">
        <v>517.19000000000005</v>
      </c>
      <c r="P41" s="81">
        <v>412.86</v>
      </c>
      <c r="Q41" s="82">
        <v>85.78</v>
      </c>
      <c r="R41" s="81">
        <v>751.13</v>
      </c>
      <c r="S41" s="81">
        <v>949.08</v>
      </c>
      <c r="T41" s="83">
        <v>1299.32</v>
      </c>
      <c r="U41" s="83">
        <v>1445.65</v>
      </c>
      <c r="V41" s="83">
        <v>2069.65</v>
      </c>
      <c r="W41" s="83">
        <v>2776.36</v>
      </c>
      <c r="X41" s="79">
        <v>3403.54</v>
      </c>
      <c r="Y41" s="80">
        <v>5138.6400000000003</v>
      </c>
      <c r="Z41" s="80">
        <v>5349.11</v>
      </c>
      <c r="AA41" s="79">
        <v>4849.46</v>
      </c>
    </row>
    <row r="42" spans="1:27" ht="19.5" customHeight="1" x14ac:dyDescent="0.25">
      <c r="A42" s="65" t="s">
        <v>192</v>
      </c>
      <c r="B42" s="66" t="s">
        <v>60</v>
      </c>
      <c r="C42" s="70">
        <v>359570.46</v>
      </c>
      <c r="D42" s="80">
        <v>20965.259999999998</v>
      </c>
      <c r="E42" s="80">
        <v>20380.650000000001</v>
      </c>
      <c r="F42" s="80">
        <v>18615.21</v>
      </c>
      <c r="G42" s="80">
        <v>16982.490000000002</v>
      </c>
      <c r="H42" s="80">
        <v>15813.17</v>
      </c>
      <c r="I42" s="80">
        <v>15767.84</v>
      </c>
      <c r="J42" s="80">
        <v>16972.88</v>
      </c>
      <c r="K42" s="80">
        <v>15773.53</v>
      </c>
      <c r="L42" s="79">
        <v>12737.93</v>
      </c>
      <c r="M42" s="79">
        <v>12954.04</v>
      </c>
      <c r="N42" s="79">
        <v>12379.96</v>
      </c>
      <c r="O42" s="79">
        <v>12122.29</v>
      </c>
      <c r="P42" s="79">
        <v>13231.87</v>
      </c>
      <c r="Q42" s="79">
        <v>13414.94</v>
      </c>
      <c r="R42" s="79">
        <v>13763.08</v>
      </c>
      <c r="S42" s="79">
        <v>14572.82</v>
      </c>
      <c r="T42" s="79">
        <v>14653.54</v>
      </c>
      <c r="U42" s="79">
        <v>9268.01</v>
      </c>
      <c r="V42" s="79">
        <v>9098.7900000000009</v>
      </c>
      <c r="W42" s="79">
        <v>11572.38</v>
      </c>
      <c r="X42" s="80">
        <v>15032.34</v>
      </c>
      <c r="Y42" s="80">
        <v>16675.009999999998</v>
      </c>
      <c r="Z42" s="80">
        <v>17520.77</v>
      </c>
      <c r="AA42" s="80">
        <v>19301.66</v>
      </c>
    </row>
    <row r="43" spans="1:27" ht="19.5" customHeight="1" x14ac:dyDescent="0.25">
      <c r="A43" s="65" t="s">
        <v>196</v>
      </c>
      <c r="B43" s="66" t="s">
        <v>60</v>
      </c>
      <c r="C43" s="70">
        <v>8837.7199999999993</v>
      </c>
      <c r="D43" s="82"/>
      <c r="E43" s="82"/>
      <c r="F43" s="82"/>
      <c r="G43" s="82"/>
      <c r="H43" s="82"/>
      <c r="I43" s="82"/>
      <c r="J43" s="82"/>
      <c r="K43" s="82"/>
      <c r="L43" s="82"/>
      <c r="M43" s="82">
        <v>39.81</v>
      </c>
      <c r="N43" s="82">
        <v>10.61</v>
      </c>
      <c r="O43" s="81">
        <v>193.52</v>
      </c>
      <c r="P43" s="83">
        <v>476.05</v>
      </c>
      <c r="Q43" s="79">
        <v>815.3</v>
      </c>
      <c r="R43" s="80">
        <v>1194.7</v>
      </c>
      <c r="S43" s="80">
        <v>1489.93</v>
      </c>
      <c r="T43" s="80">
        <v>1546.13</v>
      </c>
      <c r="U43" s="80">
        <v>1376.95</v>
      </c>
      <c r="V43" s="80">
        <v>1583.76</v>
      </c>
      <c r="W43" s="81">
        <v>110.96</v>
      </c>
      <c r="X43" s="82"/>
      <c r="Y43" s="82"/>
      <c r="Z43" s="82"/>
      <c r="AA43" s="82"/>
    </row>
    <row r="44" spans="1:27" ht="19.5" customHeight="1" x14ac:dyDescent="0.25">
      <c r="A44" s="65" t="s">
        <v>203</v>
      </c>
      <c r="B44" s="66" t="s">
        <v>60</v>
      </c>
      <c r="C44" s="70">
        <v>157434.95000000001</v>
      </c>
      <c r="D44" s="81">
        <v>2007.36</v>
      </c>
      <c r="E44" s="81">
        <v>1498.5</v>
      </c>
      <c r="F44" s="82">
        <v>955.3</v>
      </c>
      <c r="G44" s="81">
        <v>1179.1400000000001</v>
      </c>
      <c r="H44" s="82">
        <v>649.95000000000005</v>
      </c>
      <c r="I44" s="82">
        <v>662.18</v>
      </c>
      <c r="J44" s="81">
        <v>1138.03</v>
      </c>
      <c r="K44" s="81">
        <v>1170.9000000000001</v>
      </c>
      <c r="L44" s="81">
        <v>2606.9</v>
      </c>
      <c r="M44" s="83">
        <v>4689.33</v>
      </c>
      <c r="N44" s="83">
        <v>5893.81</v>
      </c>
      <c r="O44" s="79">
        <v>8060.67</v>
      </c>
      <c r="P44" s="79">
        <v>10321.91</v>
      </c>
      <c r="Q44" s="79">
        <v>12148.7</v>
      </c>
      <c r="R44" s="80">
        <v>14938.22</v>
      </c>
      <c r="S44" s="80">
        <v>18273.919999999998</v>
      </c>
      <c r="T44" s="80">
        <v>19748.900000000001</v>
      </c>
      <c r="U44" s="80">
        <v>17889.71</v>
      </c>
      <c r="V44" s="79">
        <v>11539.64</v>
      </c>
      <c r="W44" s="83">
        <v>7304.47</v>
      </c>
      <c r="X44" s="83">
        <v>5321.6</v>
      </c>
      <c r="Y44" s="83">
        <v>4421.88</v>
      </c>
      <c r="Z44" s="81">
        <v>2913.09</v>
      </c>
      <c r="AA44" s="81">
        <v>2100.84</v>
      </c>
    </row>
    <row r="45" spans="1:27" ht="19.5" customHeight="1" x14ac:dyDescent="0.25">
      <c r="A45" s="65" t="s">
        <v>207</v>
      </c>
      <c r="B45" s="66" t="s">
        <v>60</v>
      </c>
      <c r="C45" s="70">
        <v>25619.24</v>
      </c>
      <c r="D45" s="82">
        <v>66.680000000000007</v>
      </c>
      <c r="E45" s="82">
        <v>32.619999999999997</v>
      </c>
      <c r="F45" s="82">
        <v>2.4300000000000002</v>
      </c>
      <c r="G45" s="82">
        <v>0.55000000000000004</v>
      </c>
      <c r="H45" s="82"/>
      <c r="I45" s="82"/>
      <c r="J45" s="82">
        <v>1.8</v>
      </c>
      <c r="K45" s="82">
        <v>0.86</v>
      </c>
      <c r="L45" s="82">
        <v>76.94</v>
      </c>
      <c r="M45" s="81">
        <v>560.75</v>
      </c>
      <c r="N45" s="83">
        <v>1094.5999999999999</v>
      </c>
      <c r="O45" s="83">
        <v>1812.68</v>
      </c>
      <c r="P45" s="79">
        <v>3093.01</v>
      </c>
      <c r="Q45" s="79">
        <v>3365.08</v>
      </c>
      <c r="R45" s="79">
        <v>3201.45</v>
      </c>
      <c r="S45" s="80">
        <v>5203.1499999999996</v>
      </c>
      <c r="T45" s="79">
        <v>3306.83</v>
      </c>
      <c r="U45" s="79">
        <v>2493.54</v>
      </c>
      <c r="V45" s="81">
        <v>715.96</v>
      </c>
      <c r="W45" s="82">
        <v>146.13999999999999</v>
      </c>
      <c r="X45" s="82">
        <v>128.88999999999999</v>
      </c>
      <c r="Y45" s="82">
        <v>91.6</v>
      </c>
      <c r="Z45" s="82">
        <v>86.7</v>
      </c>
      <c r="AA45" s="82">
        <v>136.97999999999999</v>
      </c>
    </row>
    <row r="46" spans="1:27" ht="19.5" customHeight="1" x14ac:dyDescent="0.25">
      <c r="A46" s="65" t="s">
        <v>211</v>
      </c>
      <c r="B46" s="66" t="s">
        <v>60</v>
      </c>
      <c r="C46" s="70">
        <v>4162.67</v>
      </c>
      <c r="D46" s="82"/>
      <c r="E46" s="82"/>
      <c r="F46" s="82"/>
      <c r="G46" s="82"/>
      <c r="H46" s="82"/>
      <c r="I46" s="82"/>
      <c r="J46" s="82"/>
      <c r="K46" s="82"/>
      <c r="L46" s="82">
        <v>0.69</v>
      </c>
      <c r="M46" s="81">
        <v>60.43</v>
      </c>
      <c r="N46" s="81">
        <v>113.4</v>
      </c>
      <c r="O46" s="83">
        <v>168.03</v>
      </c>
      <c r="P46" s="83">
        <v>407.59</v>
      </c>
      <c r="Q46" s="79">
        <v>560.35</v>
      </c>
      <c r="R46" s="80">
        <v>844.98</v>
      </c>
      <c r="S46" s="80">
        <v>1077.23</v>
      </c>
      <c r="T46" s="79">
        <v>725.64</v>
      </c>
      <c r="U46" s="81">
        <v>139.68</v>
      </c>
      <c r="V46" s="81">
        <v>64.650000000000006</v>
      </c>
      <c r="W46" s="82"/>
      <c r="X46" s="82"/>
      <c r="Y46" s="82"/>
      <c r="Z46" s="82"/>
      <c r="AA46" s="82"/>
    </row>
    <row r="47" spans="1:27" ht="19.5" customHeight="1" x14ac:dyDescent="0.25">
      <c r="A47" s="65" t="s">
        <v>216</v>
      </c>
      <c r="B47" s="66" t="s">
        <v>60</v>
      </c>
      <c r="C47" s="70">
        <v>21330.38</v>
      </c>
      <c r="D47" s="82">
        <v>113.87</v>
      </c>
      <c r="E47" s="82">
        <v>3.77</v>
      </c>
      <c r="F47" s="82">
        <v>146.43</v>
      </c>
      <c r="G47" s="82">
        <v>37.549999999999997</v>
      </c>
      <c r="H47" s="82"/>
      <c r="I47" s="82"/>
      <c r="J47" s="82"/>
      <c r="K47" s="82"/>
      <c r="L47" s="82"/>
      <c r="M47" s="82">
        <v>16.29</v>
      </c>
      <c r="N47" s="81">
        <v>393.46</v>
      </c>
      <c r="O47" s="83">
        <v>739.86</v>
      </c>
      <c r="P47" s="83">
        <v>957.48</v>
      </c>
      <c r="Q47" s="83">
        <v>1274.3</v>
      </c>
      <c r="R47" s="79">
        <v>1942.22</v>
      </c>
      <c r="S47" s="79">
        <v>2435.39</v>
      </c>
      <c r="T47" s="80">
        <v>3596.77</v>
      </c>
      <c r="U47" s="80">
        <v>3322.57</v>
      </c>
      <c r="V47" s="80">
        <v>3266.36</v>
      </c>
      <c r="W47" s="83">
        <v>1218.55</v>
      </c>
      <c r="X47" s="83">
        <v>631.1</v>
      </c>
      <c r="Y47" s="81">
        <v>475.07</v>
      </c>
      <c r="Z47" s="81">
        <v>449.24</v>
      </c>
      <c r="AA47" s="81">
        <v>310.10000000000002</v>
      </c>
    </row>
    <row r="48" spans="1:27" ht="19.5" customHeight="1" x14ac:dyDescent="0.25">
      <c r="A48" s="65" t="s">
        <v>220</v>
      </c>
      <c r="B48" s="66" t="s">
        <v>60</v>
      </c>
      <c r="C48" s="70">
        <v>3299.99</v>
      </c>
      <c r="D48" s="82"/>
      <c r="E48" s="82"/>
      <c r="F48" s="82"/>
      <c r="G48" s="82">
        <v>41.98</v>
      </c>
      <c r="H48" s="82">
        <v>4.6100000000000003</v>
      </c>
      <c r="I48" s="81">
        <v>96.84</v>
      </c>
      <c r="J48" s="81">
        <v>153.55000000000001</v>
      </c>
      <c r="K48" s="81">
        <v>63.81</v>
      </c>
      <c r="L48" s="82">
        <v>21.04</v>
      </c>
      <c r="M48" s="82">
        <v>7.66</v>
      </c>
      <c r="N48" s="82">
        <v>2.94</v>
      </c>
      <c r="O48" s="82"/>
      <c r="P48" s="82">
        <v>0.91</v>
      </c>
      <c r="Q48" s="82"/>
      <c r="R48" s="82"/>
      <c r="S48" s="82">
        <v>0.41</v>
      </c>
      <c r="T48" s="82">
        <v>8.7799999999999994</v>
      </c>
      <c r="U48" s="82">
        <v>24.91</v>
      </c>
      <c r="V48" s="81">
        <v>98.97</v>
      </c>
      <c r="W48" s="79">
        <v>493.6</v>
      </c>
      <c r="X48" s="79">
        <v>694.58</v>
      </c>
      <c r="Y48" s="80">
        <v>1115.83</v>
      </c>
      <c r="Z48" s="83">
        <v>347.8</v>
      </c>
      <c r="AA48" s="81">
        <v>121.77</v>
      </c>
    </row>
    <row r="49" spans="1:27" ht="19.5" customHeight="1" x14ac:dyDescent="0.25">
      <c r="A49" s="65" t="s">
        <v>225</v>
      </c>
      <c r="B49" s="66" t="s">
        <v>60</v>
      </c>
      <c r="C49" s="70">
        <v>26713.59</v>
      </c>
      <c r="D49" s="81">
        <v>332.51</v>
      </c>
      <c r="E49" s="81">
        <v>287.60000000000002</v>
      </c>
      <c r="F49" s="81">
        <v>388.6</v>
      </c>
      <c r="G49" s="81">
        <v>344.67</v>
      </c>
      <c r="H49" s="81">
        <v>272.92</v>
      </c>
      <c r="I49" s="82">
        <v>147.08000000000001</v>
      </c>
      <c r="J49" s="81">
        <v>280.18</v>
      </c>
      <c r="K49" s="81">
        <v>389.13</v>
      </c>
      <c r="L49" s="81">
        <v>517.26</v>
      </c>
      <c r="M49" s="83">
        <v>811.18</v>
      </c>
      <c r="N49" s="83">
        <v>1288.83</v>
      </c>
      <c r="O49" s="79">
        <v>1718.61</v>
      </c>
      <c r="P49" s="79">
        <v>2129.86</v>
      </c>
      <c r="Q49" s="80">
        <v>2934.82</v>
      </c>
      <c r="R49" s="80">
        <v>3452.33</v>
      </c>
      <c r="S49" s="80">
        <v>3887.98</v>
      </c>
      <c r="T49" s="80">
        <v>3134.25</v>
      </c>
      <c r="U49" s="83">
        <v>1445.88</v>
      </c>
      <c r="V49" s="83">
        <v>674.33</v>
      </c>
      <c r="W49" s="81">
        <v>561.59</v>
      </c>
      <c r="X49" s="81">
        <v>412.34</v>
      </c>
      <c r="Y49" s="81">
        <v>488.24</v>
      </c>
      <c r="Z49" s="81">
        <v>467.28</v>
      </c>
      <c r="AA49" s="81">
        <v>346.12</v>
      </c>
    </row>
    <row r="50" spans="1:27" ht="19.5" customHeight="1" x14ac:dyDescent="0.25">
      <c r="A50" s="65" t="s">
        <v>229</v>
      </c>
      <c r="B50" s="66" t="s">
        <v>60</v>
      </c>
      <c r="C50" s="70">
        <v>36478.42</v>
      </c>
      <c r="D50" s="82">
        <v>140.02000000000001</v>
      </c>
      <c r="E50" s="81">
        <v>254.81</v>
      </c>
      <c r="F50" s="81">
        <v>437.9</v>
      </c>
      <c r="G50" s="83">
        <v>820.02</v>
      </c>
      <c r="H50" s="82">
        <v>178.09</v>
      </c>
      <c r="I50" s="81">
        <v>576.98</v>
      </c>
      <c r="J50" s="80">
        <v>3076.23</v>
      </c>
      <c r="K50" s="80">
        <v>3287.75</v>
      </c>
      <c r="L50" s="80">
        <v>4134.8999999999996</v>
      </c>
      <c r="M50" s="79">
        <v>2544.02</v>
      </c>
      <c r="N50" s="79">
        <v>2006.54</v>
      </c>
      <c r="O50" s="83">
        <v>1191.3800000000001</v>
      </c>
      <c r="P50" s="83">
        <v>1264.17</v>
      </c>
      <c r="Q50" s="83">
        <v>1202.82</v>
      </c>
      <c r="R50" s="83">
        <v>1195.1099999999999</v>
      </c>
      <c r="S50" s="83">
        <v>728.08</v>
      </c>
      <c r="T50" s="83">
        <v>652.74</v>
      </c>
      <c r="U50" s="83">
        <v>1261.83</v>
      </c>
      <c r="V50" s="79">
        <v>1913.47</v>
      </c>
      <c r="W50" s="80">
        <v>3155.84</v>
      </c>
      <c r="X50" s="79">
        <v>2162.21</v>
      </c>
      <c r="Y50" s="79">
        <v>2386.13</v>
      </c>
      <c r="Z50" s="83">
        <v>1250.8399999999999</v>
      </c>
      <c r="AA50" s="83">
        <v>656.54</v>
      </c>
    </row>
    <row r="51" spans="1:27" ht="19.5" customHeight="1" x14ac:dyDescent="0.25">
      <c r="A51" s="65" t="s">
        <v>234</v>
      </c>
      <c r="B51" s="66" t="s">
        <v>60</v>
      </c>
      <c r="C51" s="70">
        <v>4254.0600000000004</v>
      </c>
      <c r="D51" s="81">
        <v>39.520000000000003</v>
      </c>
      <c r="E51" s="82">
        <v>10.71</v>
      </c>
      <c r="F51" s="82"/>
      <c r="G51" s="82"/>
      <c r="H51" s="82"/>
      <c r="I51" s="82"/>
      <c r="J51" s="82"/>
      <c r="K51" s="82">
        <v>0.33</v>
      </c>
      <c r="L51" s="82">
        <v>29.37</v>
      </c>
      <c r="M51" s="79">
        <v>307.44</v>
      </c>
      <c r="N51" s="80">
        <v>451.21</v>
      </c>
      <c r="O51" s="80">
        <v>591.55999999999995</v>
      </c>
      <c r="P51" s="80">
        <v>605.54</v>
      </c>
      <c r="Q51" s="80">
        <v>494.43</v>
      </c>
      <c r="R51" s="79">
        <v>422.65</v>
      </c>
      <c r="S51" s="79">
        <v>405.86</v>
      </c>
      <c r="T51" s="79">
        <v>360.84</v>
      </c>
      <c r="U51" s="79">
        <v>325.89999999999998</v>
      </c>
      <c r="V51" s="83">
        <v>113.65</v>
      </c>
      <c r="W51" s="82">
        <v>8.09</v>
      </c>
      <c r="X51" s="81">
        <v>54.01</v>
      </c>
      <c r="Y51" s="82">
        <v>5.26</v>
      </c>
      <c r="Z51" s="82">
        <v>18.38</v>
      </c>
      <c r="AA51" s="82">
        <v>9.31</v>
      </c>
    </row>
    <row r="52" spans="1:27" ht="19.5" customHeight="1" x14ac:dyDescent="0.25">
      <c r="A52" s="65" t="s">
        <v>236</v>
      </c>
      <c r="B52" s="66" t="s">
        <v>60</v>
      </c>
      <c r="C52" s="70">
        <v>31078.31</v>
      </c>
      <c r="D52" s="83">
        <v>732.67</v>
      </c>
      <c r="E52" s="83">
        <v>828.35</v>
      </c>
      <c r="F52" s="83">
        <v>678.43</v>
      </c>
      <c r="G52" s="83">
        <v>559.72</v>
      </c>
      <c r="H52" s="83">
        <v>529.04</v>
      </c>
      <c r="I52" s="83">
        <v>659.52</v>
      </c>
      <c r="J52" s="83">
        <v>459.88</v>
      </c>
      <c r="K52" s="83">
        <v>750.46</v>
      </c>
      <c r="L52" s="83">
        <v>551.54999999999995</v>
      </c>
      <c r="M52" s="83">
        <v>774.35</v>
      </c>
      <c r="N52" s="83">
        <v>980.56</v>
      </c>
      <c r="O52" s="79">
        <v>1226.23</v>
      </c>
      <c r="P52" s="79">
        <v>1632.21</v>
      </c>
      <c r="Q52" s="79">
        <v>1603.99</v>
      </c>
      <c r="R52" s="79">
        <v>2091.09</v>
      </c>
      <c r="S52" s="80">
        <v>2240.06</v>
      </c>
      <c r="T52" s="80">
        <v>3034.23</v>
      </c>
      <c r="U52" s="80">
        <v>2647.55</v>
      </c>
      <c r="V52" s="80">
        <v>2695.64</v>
      </c>
      <c r="W52" s="79">
        <v>2096.69</v>
      </c>
      <c r="X52" s="79">
        <v>1339.35</v>
      </c>
      <c r="Y52" s="83">
        <v>1140.51</v>
      </c>
      <c r="Z52" s="83">
        <v>1128.46</v>
      </c>
      <c r="AA52" s="83">
        <v>697.77</v>
      </c>
    </row>
    <row r="53" spans="1:27" ht="19.5" customHeight="1" x14ac:dyDescent="0.25">
      <c r="A53" s="65" t="s">
        <v>240</v>
      </c>
      <c r="B53" s="66" t="s">
        <v>60</v>
      </c>
      <c r="C53" s="70">
        <v>3280.03</v>
      </c>
      <c r="D53" s="82"/>
      <c r="E53" s="82"/>
      <c r="F53" s="82"/>
      <c r="G53" s="82"/>
      <c r="H53" s="82"/>
      <c r="I53" s="82"/>
      <c r="J53" s="82"/>
      <c r="K53" s="82"/>
      <c r="L53" s="82">
        <v>16.100000000000001</v>
      </c>
      <c r="M53" s="81">
        <v>55.67</v>
      </c>
      <c r="N53" s="82">
        <v>44.05</v>
      </c>
      <c r="O53" s="81">
        <v>51.89</v>
      </c>
      <c r="P53" s="81">
        <v>75.010000000000005</v>
      </c>
      <c r="Q53" s="81">
        <v>152.11000000000001</v>
      </c>
      <c r="R53" s="81">
        <v>145.22999999999999</v>
      </c>
      <c r="S53" s="83">
        <v>232.22</v>
      </c>
      <c r="T53" s="83">
        <v>385.95</v>
      </c>
      <c r="U53" s="80">
        <v>891.77</v>
      </c>
      <c r="V53" s="80">
        <v>1018.7</v>
      </c>
      <c r="W53" s="83">
        <v>211.33</v>
      </c>
      <c r="X53" s="82"/>
      <c r="Y53" s="82"/>
      <c r="Z53" s="82"/>
      <c r="AA53" s="82"/>
    </row>
    <row r="54" spans="1:27" ht="19.5" customHeight="1" x14ac:dyDescent="0.25">
      <c r="A54" s="65" t="s">
        <v>244</v>
      </c>
      <c r="B54" s="66" t="s">
        <v>60</v>
      </c>
      <c r="C54" s="70">
        <v>3322.27</v>
      </c>
      <c r="D54" s="82"/>
      <c r="E54" s="82"/>
      <c r="F54" s="82"/>
      <c r="G54" s="82"/>
      <c r="H54" s="82"/>
      <c r="I54" s="82"/>
      <c r="J54" s="82"/>
      <c r="K54" s="82"/>
      <c r="L54" s="82"/>
      <c r="M54" s="82">
        <v>13.43</v>
      </c>
      <c r="N54" s="82"/>
      <c r="O54" s="82"/>
      <c r="P54" s="82"/>
      <c r="Q54" s="82"/>
      <c r="R54" s="83">
        <v>307.36</v>
      </c>
      <c r="S54" s="80">
        <v>785.01</v>
      </c>
      <c r="T54" s="80">
        <v>824.12</v>
      </c>
      <c r="U54" s="83">
        <v>292.82</v>
      </c>
      <c r="V54" s="79">
        <v>426.13</v>
      </c>
      <c r="W54" s="83">
        <v>274.18</v>
      </c>
      <c r="X54" s="83">
        <v>194.6</v>
      </c>
      <c r="Y54" s="83">
        <v>191.85</v>
      </c>
      <c r="Z54" s="82">
        <v>12.77</v>
      </c>
      <c r="AA54" s="82"/>
    </row>
    <row r="55" spans="1:27" ht="19.5" customHeight="1" x14ac:dyDescent="0.25">
      <c r="A55" s="65" t="s">
        <v>248</v>
      </c>
      <c r="B55" s="66" t="s">
        <v>60</v>
      </c>
      <c r="C55" s="70">
        <v>15846.42</v>
      </c>
      <c r="D55" s="82">
        <v>15.99</v>
      </c>
      <c r="E55" s="82"/>
      <c r="F55" s="82"/>
      <c r="G55" s="82"/>
      <c r="H55" s="82"/>
      <c r="I55" s="82"/>
      <c r="J55" s="82">
        <v>69.680000000000007</v>
      </c>
      <c r="K55" s="82">
        <v>95.54</v>
      </c>
      <c r="L55" s="82"/>
      <c r="M55" s="82"/>
      <c r="N55" s="82"/>
      <c r="O55" s="82">
        <v>8.66</v>
      </c>
      <c r="P55" s="83">
        <v>497.14</v>
      </c>
      <c r="Q55" s="83">
        <v>797.25</v>
      </c>
      <c r="R55" s="79">
        <v>1456.82</v>
      </c>
      <c r="S55" s="83">
        <v>1082.69</v>
      </c>
      <c r="T55" s="79">
        <v>1979.92</v>
      </c>
      <c r="U55" s="79">
        <v>1617.6</v>
      </c>
      <c r="V55" s="80">
        <v>2933.45</v>
      </c>
      <c r="W55" s="80">
        <v>3053.98</v>
      </c>
      <c r="X55" s="79">
        <v>1349.65</v>
      </c>
      <c r="Y55" s="83">
        <v>718.27</v>
      </c>
      <c r="Z55" s="81">
        <v>155.53</v>
      </c>
      <c r="AA55" s="82">
        <v>14.25</v>
      </c>
    </row>
    <row r="56" spans="1:27" ht="19.5" customHeight="1" x14ac:dyDescent="0.25">
      <c r="A56" s="65" t="s">
        <v>253</v>
      </c>
      <c r="B56" s="66" t="s">
        <v>60</v>
      </c>
      <c r="C56" s="70">
        <v>12390.2</v>
      </c>
      <c r="D56" s="79">
        <v>1631.85</v>
      </c>
      <c r="E56" s="83">
        <v>594.25</v>
      </c>
      <c r="F56" s="81">
        <v>240.53</v>
      </c>
      <c r="G56" s="82">
        <v>10.029999999999999</v>
      </c>
      <c r="H56" s="82"/>
      <c r="I56" s="82">
        <v>48.1</v>
      </c>
      <c r="J56" s="82">
        <v>16.399999999999999</v>
      </c>
      <c r="K56" s="82"/>
      <c r="L56" s="82">
        <v>61.85</v>
      </c>
      <c r="M56" s="81">
        <v>379.63</v>
      </c>
      <c r="N56" s="81">
        <v>409.9</v>
      </c>
      <c r="O56" s="81">
        <v>240.13</v>
      </c>
      <c r="P56" s="82">
        <v>159.38999999999999</v>
      </c>
      <c r="Q56" s="82"/>
      <c r="R56" s="82"/>
      <c r="S56" s="82"/>
      <c r="T56" s="82"/>
      <c r="U56" s="82"/>
      <c r="V56" s="82"/>
      <c r="W56" s="82"/>
      <c r="X56" s="82"/>
      <c r="Y56" s="79">
        <v>2034.64</v>
      </c>
      <c r="Z56" s="80">
        <v>3808.83</v>
      </c>
      <c r="AA56" s="80">
        <v>2754.67</v>
      </c>
    </row>
    <row r="57" spans="1:27" ht="19.5" customHeight="1" x14ac:dyDescent="0.25">
      <c r="A57" s="65" t="s">
        <v>258</v>
      </c>
      <c r="B57" s="66" t="s">
        <v>60</v>
      </c>
      <c r="C57" s="70">
        <v>6622.44</v>
      </c>
      <c r="D57" s="79">
        <v>328.54</v>
      </c>
      <c r="E57" s="79">
        <v>399.76</v>
      </c>
      <c r="F57" s="83">
        <v>211.03</v>
      </c>
      <c r="G57" s="83">
        <v>237.85</v>
      </c>
      <c r="H57" s="81">
        <v>108.36</v>
      </c>
      <c r="I57" s="82">
        <v>10.8</v>
      </c>
      <c r="J57" s="82">
        <v>18.63</v>
      </c>
      <c r="K57" s="82">
        <v>0.33</v>
      </c>
      <c r="L57" s="82">
        <v>1.57</v>
      </c>
      <c r="M57" s="81">
        <v>59.39</v>
      </c>
      <c r="N57" s="83">
        <v>134.47999999999999</v>
      </c>
      <c r="O57" s="81">
        <v>102.48</v>
      </c>
      <c r="P57" s="83">
        <v>161.4</v>
      </c>
      <c r="Q57" s="83">
        <v>216.4</v>
      </c>
      <c r="R57" s="83">
        <v>206.62</v>
      </c>
      <c r="S57" s="79">
        <v>472.99</v>
      </c>
      <c r="T57" s="79">
        <v>429.71</v>
      </c>
      <c r="U57" s="79">
        <v>357.27</v>
      </c>
      <c r="V57" s="79">
        <v>513.70000000000005</v>
      </c>
      <c r="W57" s="80">
        <v>797.81</v>
      </c>
      <c r="X57" s="79">
        <v>533.20000000000005</v>
      </c>
      <c r="Y57" s="79">
        <v>555.47</v>
      </c>
      <c r="Z57" s="79">
        <v>499.84</v>
      </c>
      <c r="AA57" s="83">
        <v>264.81</v>
      </c>
    </row>
    <row r="58" spans="1:27" ht="19.5" customHeight="1" x14ac:dyDescent="0.25">
      <c r="A58" s="65" t="s">
        <v>263</v>
      </c>
      <c r="B58" s="66" t="s">
        <v>60</v>
      </c>
      <c r="C58" s="70">
        <v>4009.58</v>
      </c>
      <c r="D58" s="82"/>
      <c r="E58" s="82"/>
      <c r="F58" s="82"/>
      <c r="G58" s="82"/>
      <c r="H58" s="82"/>
      <c r="I58" s="82"/>
      <c r="J58" s="82"/>
      <c r="K58" s="82"/>
      <c r="L58" s="82"/>
      <c r="M58" s="82">
        <v>10.31</v>
      </c>
      <c r="N58" s="81">
        <v>81.760000000000005</v>
      </c>
      <c r="O58" s="83">
        <v>186.48</v>
      </c>
      <c r="P58" s="79">
        <v>456.45</v>
      </c>
      <c r="Q58" s="79">
        <v>565.29999999999995</v>
      </c>
      <c r="R58" s="79">
        <v>633.54999999999995</v>
      </c>
      <c r="S58" s="80">
        <v>891.03</v>
      </c>
      <c r="T58" s="80">
        <v>1009.58</v>
      </c>
      <c r="U58" s="83">
        <v>152.34</v>
      </c>
      <c r="V58" s="82">
        <v>22.78</v>
      </c>
      <c r="W58" s="82"/>
      <c r="X58" s="82"/>
      <c r="Y58" s="82"/>
      <c r="Z58" s="82"/>
      <c r="AA58" s="82"/>
    </row>
    <row r="60" spans="1:27" x14ac:dyDescent="0.25">
      <c r="A60" s="129" t="s">
        <v>865</v>
      </c>
      <c r="B60" s="112"/>
      <c r="C60" s="112"/>
      <c r="D60" s="112"/>
      <c r="E60" s="112"/>
      <c r="L60" s="84" t="s">
        <v>866</v>
      </c>
      <c r="M60" s="85" t="s">
        <v>867</v>
      </c>
      <c r="N60" s="86" t="s">
        <v>868</v>
      </c>
      <c r="O60" s="87" t="s">
        <v>869</v>
      </c>
      <c r="P60" s="88" t="s">
        <v>870</v>
      </c>
    </row>
  </sheetData>
  <mergeCells count="3">
    <mergeCell ref="A1:Z1"/>
    <mergeCell ref="A60:E60"/>
    <mergeCell ref="A2:Z2"/>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4138c6f0-5a7d-442a-af21-96b5dcaeeea2}" enabled="0" method="" siteId="{4138c6f0-5a7d-442a-af21-96b5dcaeeea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Disclaimer</vt:lpstr>
      <vt:lpstr>📋 Line Lookup</vt:lpstr>
      <vt:lpstr>🧮 MCC Calculator</vt:lpstr>
      <vt:lpstr>☀️ Summer</vt:lpstr>
      <vt:lpstr>🍂 Fall</vt:lpstr>
      <vt:lpstr>❄️ Winter</vt:lpstr>
      <vt:lpstr>🌱 Spring</vt:lpstr>
      <vt:lpstr>📊 Shift Factors</vt:lpstr>
      <vt:lpstr>⏰ Hour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Kight</cp:lastModifiedBy>
  <cp:revision>0</cp:revision>
  <dcterms:created xsi:type="dcterms:W3CDTF">2026-05-21T16:38:54Z</dcterms:created>
  <dcterms:modified xsi:type="dcterms:W3CDTF">2026-09-30T17:56:29Z</dcterms:modified>
  <dc:language>en-US</dc:language>
</cp:coreProperties>
</file>