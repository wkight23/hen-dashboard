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6920" yWindow="-5490" windowWidth="38640" windowHeight="21120" tabRatio="500" firstSheet="0" activeTab="9" autoFilterDateGrouping="1"/>
  </bookViews>
  <sheets>
    <sheet xmlns:r="http://schemas.openxmlformats.org/officeDocument/2006/relationships" name="⚠️ Disclaimer" sheetId="1" state="visible" r:id="rId1"/>
    <sheet xmlns:r="http://schemas.openxmlformats.org/officeDocument/2006/relationships" name="📋 Line Lookup" sheetId="2" state="visible" r:id="rId2"/>
    <sheet xmlns:r="http://schemas.openxmlformats.org/officeDocument/2006/relationships" name="🧮 MCC Calculator" sheetId="3" state="visible" r:id="rId3"/>
    <sheet xmlns:r="http://schemas.openxmlformats.org/officeDocument/2006/relationships" name="☀️ Summer" sheetId="4" state="visible" r:id="rId4"/>
    <sheet xmlns:r="http://schemas.openxmlformats.org/officeDocument/2006/relationships" name="🍂 Fall" sheetId="5" state="visible" r:id="rId5"/>
    <sheet xmlns:r="http://schemas.openxmlformats.org/officeDocument/2006/relationships" name="❄️ Winter" sheetId="6" state="visible" r:id="rId6"/>
    <sheet xmlns:r="http://schemas.openxmlformats.org/officeDocument/2006/relationships" name="🌱 Spring" sheetId="7" state="visible" r:id="rId7"/>
    <sheet xmlns:r="http://schemas.openxmlformats.org/officeDocument/2006/relationships" name="📊 Shift Factors" sheetId="8" state="visible" r:id="rId8"/>
    <sheet xmlns:r="http://schemas.openxmlformats.org/officeDocument/2006/relationships" name="⏰ Hour Guide" sheetId="9" state="visible" r:id="rId9"/>
    <sheet xmlns:r="http://schemas.openxmlformats.org/officeDocument/2006/relationships" name="Aliases" sheetId="10" state="visible" r:id="rId10"/>
    <sheet xmlns:r="http://schemas.openxmlformats.org/officeDocument/2006/relationships" name="Crosswalk Review" sheetId="11" state="visible" r:id="rId11"/>
  </sheets>
  <definedNames>
    <definedName name="_xlnm._FilterDatabase" localSheetId="1" hidden="1">'📋 Line Lookup'!$A$3:$M$3</definedName>
    <definedName name="_xlnm._FilterDatabase" localSheetId="9" hidden="1">'Aliases'!$A$1:$G$86</definedName>
  </definedNames>
  <calcPr calcId="191029" fullCalcOnLoad="1"/>
</workbook>
</file>

<file path=xl/styles.xml><?xml version="1.0" encoding="utf-8"?>
<styleSheet xmlns="http://schemas.openxmlformats.org/spreadsheetml/2006/main">
  <numFmts count="4">
    <numFmt numFmtId="164" formatCode="0.0%"/>
    <numFmt numFmtId="165" formatCode="\$#,##0.00"/>
    <numFmt numFmtId="166" formatCode="\$#,##0"/>
    <numFmt numFmtId="167" formatCode="&quot;$&quot;#,##0.00"/>
  </numFmts>
  <fonts count="50">
    <font>
      <name val="Calibri"/>
      <charset val="1"/>
      <family val="2"/>
      <color theme="1"/>
      <sz val="11"/>
    </font>
    <font>
      <name val="Calibri"/>
      <family val="2"/>
      <color theme="1"/>
      <sz val="11"/>
      <scheme val="minor"/>
    </font>
    <font>
      <name val="Arial"/>
      <family val="2"/>
      <b val="1"/>
      <color rgb="FF1C2B3A"/>
      <sz val="22"/>
    </font>
    <font>
      <name val="Arial"/>
      <family val="2"/>
      <i val="1"/>
      <color rgb="FF546E7A"/>
      <sz val="11"/>
    </font>
    <font>
      <name val="Arial"/>
      <family val="2"/>
      <b val="1"/>
      <color rgb="FF1C2B3A"/>
      <sz val="16"/>
    </font>
    <font>
      <name val="Arial"/>
      <family val="2"/>
      <b val="1"/>
      <color rgb="FF1565C0"/>
      <sz val="13"/>
    </font>
    <font>
      <name val="Arial"/>
      <family val="2"/>
      <color rgb="FF212121"/>
      <sz val="11"/>
    </font>
    <font>
      <name val="Arial"/>
      <family val="2"/>
      <i val="1"/>
      <color rgb="FF9E9E9E"/>
      <sz val="10"/>
    </font>
    <font>
      <name val="Arial"/>
      <family val="2"/>
      <b val="1"/>
      <color rgb="FFFFFFFF"/>
      <sz val="14"/>
    </font>
    <font>
      <name val="Arial"/>
      <family val="2"/>
      <color rgb="FFB0C4DE"/>
      <sz val="10"/>
    </font>
    <font>
      <name val="Arial"/>
      <family val="2"/>
      <b val="1"/>
      <color rgb="FFFFFFFF"/>
      <sz val="10"/>
    </font>
    <font>
      <name val="Arial"/>
      <family val="2"/>
      <b val="1"/>
      <color rgb="FFFFFFFF"/>
      <sz val="11"/>
    </font>
    <font>
      <name val="Arial"/>
      <family val="2"/>
      <b val="1"/>
      <color rgb="FF000000"/>
      <sz val="10"/>
    </font>
    <font>
      <name val="Arial"/>
      <family val="2"/>
      <b val="1"/>
      <color rgb="FF2E7D32"/>
      <sz val="11"/>
    </font>
    <font>
      <name val="Arial"/>
      <family val="2"/>
      <color rgb="FF000000"/>
      <sz val="10"/>
    </font>
    <font>
      <name val="Arial"/>
      <family val="2"/>
      <b val="1"/>
      <color rgb="FF1565C0"/>
      <sz val="10"/>
    </font>
    <font>
      <name val="Arial"/>
      <family val="2"/>
      <b val="1"/>
      <color rgb="FF2E7D32"/>
      <sz val="10"/>
    </font>
    <font>
      <name val="Arial"/>
      <family val="2"/>
      <i val="1"/>
      <color rgb="FF616161"/>
      <sz val="10"/>
    </font>
    <font>
      <name val="Arial"/>
      <family val="2"/>
      <color rgb="FF616161"/>
      <sz val="10"/>
    </font>
    <font>
      <name val="Arial"/>
      <family val="2"/>
      <color rgb="FFE65100"/>
      <sz val="10"/>
    </font>
    <font>
      <name val="Arial"/>
      <family val="2"/>
      <b val="1"/>
      <color rgb="FFE65100"/>
      <sz val="11"/>
    </font>
    <font>
      <name val="Arial"/>
      <family val="2"/>
      <b val="1"/>
      <color rgb="FF616161"/>
      <sz val="11"/>
    </font>
    <font>
      <name val="Arial"/>
      <family val="2"/>
      <color rgb="FFB0C4DE"/>
      <sz val="11"/>
    </font>
    <font>
      <name val="Arial"/>
      <family val="2"/>
      <b val="1"/>
      <color rgb="FFFFFFFF"/>
      <sz val="12"/>
    </font>
    <font>
      <name val="Arial"/>
      <family val="2"/>
      <b val="1"/>
      <color rgb="FFE65100"/>
      <sz val="18"/>
    </font>
    <font>
      <name val="Arial"/>
      <family val="2"/>
      <i val="1"/>
      <color rgb="FFE65100"/>
      <sz val="11"/>
    </font>
    <font>
      <name val="Arial"/>
      <family val="2"/>
      <color rgb="FF616161"/>
      <sz val="9"/>
    </font>
    <font>
      <name val="Arial"/>
      <family val="2"/>
      <i val="1"/>
      <color rgb="FFC62828"/>
      <sz val="10"/>
    </font>
    <font>
      <name val="Arial"/>
      <family val="2"/>
      <b val="1"/>
      <color rgb="FFE65100"/>
      <sz val="10"/>
    </font>
    <font>
      <name val="Arial"/>
      <family val="2"/>
      <i val="1"/>
      <color rgb="FF5D4037"/>
      <sz val="10"/>
    </font>
    <font>
      <name val="Arial"/>
      <family val="2"/>
      <i val="1"/>
      <color rgb="FF4E342E"/>
      <sz val="11"/>
    </font>
    <font>
      <name val="Arial"/>
      <family val="2"/>
      <b val="1"/>
      <color rgb="FFFFFFFF"/>
      <sz val="13"/>
    </font>
    <font>
      <name val="Arial"/>
      <family val="2"/>
      <b val="1"/>
      <color rgb="FF1B5E20"/>
      <sz val="10"/>
    </font>
    <font>
      <name val="Arial"/>
      <family val="2"/>
      <b val="1"/>
      <color rgb="FF33691E"/>
      <sz val="10"/>
    </font>
    <font>
      <name val="Arial"/>
      <family val="2"/>
      <i val="1"/>
      <color rgb="FFBF360C"/>
      <sz val="10"/>
    </font>
    <font>
      <name val="Arial"/>
      <family val="2"/>
      <b val="1"/>
      <color rgb="FF616161"/>
      <sz val="10"/>
    </font>
    <font>
      <name val="Arial"/>
      <family val="2"/>
      <color rgb="FFFFFFFF"/>
      <sz val="8"/>
    </font>
    <font>
      <name val="Arial"/>
      <family val="2"/>
      <color rgb="FF1A237E"/>
      <sz val="8"/>
    </font>
    <font>
      <name val="Arial"/>
      <family val="2"/>
      <color rgb="FFBDBDBD"/>
      <sz val="8"/>
    </font>
    <font>
      <name val="Arial"/>
      <family val="2"/>
      <color rgb="FF0D47A1"/>
      <sz val="8"/>
    </font>
    <font>
      <name val="Arial"/>
      <family val="2"/>
      <b val="1"/>
      <color rgb="FF0D47A1"/>
      <sz val="10"/>
    </font>
    <font>
      <name val="Arial"/>
      <family val="2"/>
      <b val="1"/>
      <color rgb="FF1A237E"/>
      <sz val="10"/>
    </font>
    <font>
      <name val="Arial"/>
      <family val="2"/>
      <b val="1"/>
      <color rgb="FFBDBDBD"/>
      <sz val="10"/>
    </font>
    <font>
      <name val="Calibri"/>
      <charset val="1"/>
      <family val="2"/>
      <color theme="1"/>
      <sz val="11"/>
    </font>
    <font>
      <name val="Arial"/>
      <family val="2"/>
      <b val="1"/>
      <color rgb="FF0070C0"/>
      <sz val="10"/>
    </font>
    <font>
      <name val="Arial"/>
      <family val="2"/>
      <b val="1"/>
      <color rgb="FF000000"/>
      <sz val="10"/>
      <u val="single"/>
    </font>
    <font>
      <name val="Calibri"/>
      <b val="1"/>
      <color rgb="FFFFFFFF"/>
      <sz val="11"/>
    </font>
    <font>
      <name val="Calibri"/>
      <b val="1"/>
      <sz val="11"/>
    </font>
    <font>
      <b val="1"/>
    </font>
    <font>
      <b val="1"/>
      <color rgb="00FFFFFF"/>
    </font>
  </fonts>
  <fills count="29">
    <fill>
      <patternFill/>
    </fill>
    <fill>
      <patternFill patternType="gray125"/>
    </fill>
    <fill>
      <patternFill patternType="solid">
        <fgColor rgb="FFE3F0FF"/>
        <bgColor rgb="FFE3F2FD"/>
      </patternFill>
    </fill>
    <fill>
      <patternFill patternType="solid">
        <fgColor rgb="FF1C2B3A"/>
        <bgColor rgb="FF243447"/>
      </patternFill>
    </fill>
    <fill>
      <patternFill patternType="solid">
        <fgColor rgb="FF243447"/>
        <bgColor rgb="FF1C2B3A"/>
      </patternFill>
    </fill>
    <fill>
      <patternFill patternType="solid">
        <fgColor rgb="FF1F3A5F"/>
        <bgColor rgb="FF243447"/>
      </patternFill>
    </fill>
    <fill>
      <patternFill patternType="solid">
        <fgColor rgb="FF1A4731"/>
        <bgColor rgb="FF243447"/>
      </patternFill>
    </fill>
    <fill>
      <patternFill patternType="solid">
        <fgColor rgb="FFE8F5E9"/>
        <bgColor rgb="FFE3F2FD"/>
      </patternFill>
    </fill>
    <fill>
      <patternFill patternType="solid">
        <fgColor rgb="FF4A3500"/>
        <bgColor rgb="FF4E342E"/>
      </patternFill>
    </fill>
    <fill>
      <patternFill patternType="solid">
        <fgColor rgb="FFFFFDE7"/>
        <bgColor rgb="FFFAFAFA"/>
      </patternFill>
    </fill>
    <fill>
      <patternFill patternType="solid">
        <fgColor rgb="FFF5F5F5"/>
        <bgColor rgb="FFFAFAFA"/>
      </patternFill>
    </fill>
    <fill>
      <patternFill patternType="solid">
        <fgColor rgb="FF2E4A6B"/>
        <bgColor rgb="FF1F3A5F"/>
      </patternFill>
    </fill>
    <fill>
      <patternFill patternType="solid">
        <fgColor rgb="FFFFF9C4"/>
        <bgColor rgb="FFFFFDE7"/>
      </patternFill>
    </fill>
    <fill>
      <patternFill patternType="solid">
        <fgColor rgb="FFFFE0B2"/>
        <bgColor rgb="FFFFCCBC"/>
      </patternFill>
    </fill>
    <fill>
      <patternFill patternType="solid">
        <fgColor rgb="FFFFCCBC"/>
        <bgColor rgb="FFFFE0B2"/>
      </patternFill>
    </fill>
    <fill>
      <patternFill patternType="solid">
        <fgColor rgb="FFBBDEFB"/>
        <bgColor rgb="FFCFD8DC"/>
      </patternFill>
    </fill>
    <fill>
      <patternFill patternType="solid">
        <fgColor rgb="FFC8E6C9"/>
        <bgColor rgb="FFDCEDC8"/>
      </patternFill>
    </fill>
    <fill>
      <patternFill patternType="solid">
        <fgColor rgb="FFDCEDC8"/>
        <bgColor rgb="FFC8E6C9"/>
      </patternFill>
    </fill>
    <fill>
      <patternFill patternType="solid">
        <fgColor rgb="FF42A5F5"/>
        <bgColor rgb="FF00CCFF"/>
      </patternFill>
    </fill>
    <fill>
      <patternFill patternType="solid">
        <fgColor rgb="FF1565C0"/>
        <bgColor rgb="FF0D47A1"/>
      </patternFill>
    </fill>
    <fill>
      <patternFill patternType="solid">
        <fgColor rgb="FFE3F2FD"/>
        <bgColor rgb="FFE3F0FF"/>
      </patternFill>
    </fill>
    <fill>
      <patternFill patternType="solid">
        <fgColor rgb="FFFAFAFA"/>
        <bgColor rgb="FFFFFFFF"/>
      </patternFill>
    </fill>
    <fill>
      <patternFill patternType="solid">
        <fgColor rgb="FF90CAF9"/>
        <bgColor rgb="FFB0C4DE"/>
      </patternFill>
    </fill>
    <fill>
      <patternFill patternType="solid">
        <fgColor rgb="FFE1F0FF"/>
        <bgColor rgb="FFE1F0FF"/>
      </patternFill>
    </fill>
    <fill>
      <patternFill patternType="solid">
        <fgColor rgb="FFC6EFCE"/>
      </patternFill>
    </fill>
    <fill>
      <patternFill patternType="solid">
        <fgColor rgb="FFFFEB9C"/>
      </patternFill>
    </fill>
    <fill>
      <patternFill patternType="solid">
        <fgColor rgb="FF1F3A5F"/>
      </patternFill>
    </fill>
    <fill>
      <patternFill patternType="solid">
        <fgColor rgb="FFF8CBAD"/>
      </patternFill>
    </fill>
    <fill>
      <patternFill patternType="solid">
        <fgColor rgb="001F3A5F"/>
      </patternFill>
    </fill>
  </fills>
  <borders count="6">
    <border>
      <left/>
      <right/>
      <top/>
      <bottom/>
      <diagonal/>
    </border>
    <border>
      <left style="thin">
        <color rgb="FF607D8B"/>
      </left>
      <right style="thin">
        <color rgb="FF607D8B"/>
      </right>
      <top style="thin">
        <color rgb="FF607D8B"/>
      </top>
      <bottom style="thin">
        <color rgb="FF607D8B"/>
      </bottom>
      <diagonal/>
    </border>
    <border>
      <left style="thin">
        <color rgb="FFCFD8DC"/>
      </left>
      <right style="thin">
        <color rgb="FFCFD8DC"/>
      </right>
      <top style="thin">
        <color rgb="FFCFD8DC"/>
      </top>
      <bottom style="thin">
        <color rgb="FFCFD8DC"/>
      </bottom>
      <diagonal/>
    </border>
    <border>
      <left style="thick">
        <color rgb="FFE65100"/>
      </left>
      <right style="thick">
        <color rgb="FFE65100"/>
      </right>
      <top style="thick">
        <color rgb="FFE65100"/>
      </top>
      <bottom style="thick">
        <color rgb="FFE65100"/>
      </bottom>
      <diagonal/>
    </border>
    <border>
      <left style="thin">
        <color rgb="FFBDBDBD"/>
      </left>
      <right style="thin">
        <color rgb="FFBDBDBD"/>
      </right>
      <top style="thin">
        <color rgb="FFBDBDBD"/>
      </top>
      <bottom style="thin">
        <color rgb="FFBDBDBD"/>
      </bottom>
      <diagonal/>
    </border>
    <border>
      <left style="thin">
        <color rgb="FFCFD8DC"/>
      </left>
      <right style="thin">
        <color rgb="FFCFD8DC"/>
      </right>
      <top/>
      <bottom/>
      <diagonal/>
    </border>
  </borders>
  <cellStyleXfs count="3">
    <xf numFmtId="0" fontId="43" fillId="0" borderId="0"/>
    <xf numFmtId="9" fontId="43" fillId="0" borderId="0"/>
    <xf numFmtId="0" fontId="1" fillId="0" borderId="0"/>
  </cellStyleXfs>
  <cellXfs count="195">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xf>
    <xf numFmtId="0" fontId="4" fillId="2" borderId="0" applyAlignment="1" pivotButton="0" quotePrefix="0" xfId="0">
      <alignment horizontal="center" vertical="center"/>
    </xf>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horizontal="center"/>
    </xf>
    <xf numFmtId="0" fontId="10" fillId="5" borderId="1" applyAlignment="1" pivotButton="0" quotePrefix="0" xfId="0">
      <alignment horizontal="center" vertical="center" wrapText="1"/>
    </xf>
    <xf numFmtId="0" fontId="12" fillId="7" borderId="2" applyAlignment="1" pivotButton="0" quotePrefix="0" xfId="0">
      <alignment horizontal="left" vertical="center" wrapText="1"/>
    </xf>
    <xf numFmtId="0" fontId="13" fillId="7" borderId="2" applyAlignment="1" pivotButton="0" quotePrefix="0" xfId="0">
      <alignment horizontal="center" vertical="center" wrapText="1"/>
    </xf>
    <xf numFmtId="0" fontId="14" fillId="7" borderId="2" applyAlignment="1" pivotButton="0" quotePrefix="0" xfId="0">
      <alignment horizontal="left" vertical="center" wrapText="1"/>
    </xf>
    <xf numFmtId="0" fontId="14" fillId="7" borderId="2" applyAlignment="1" pivotButton="0" quotePrefix="0" xfId="0">
      <alignment horizontal="center" vertical="center" wrapText="1"/>
    </xf>
    <xf numFmtId="164" fontId="15" fillId="7" borderId="2" applyAlignment="1" pivotButton="0" quotePrefix="0" xfId="0">
      <alignment horizontal="center" vertical="center" wrapText="1"/>
    </xf>
    <xf numFmtId="165" fontId="16" fillId="7" borderId="2" applyAlignment="1" pivotButton="0" quotePrefix="0" xfId="0">
      <alignment horizontal="center" vertical="center" wrapText="1"/>
    </xf>
    <xf numFmtId="0" fontId="17" fillId="7" borderId="2" applyAlignment="1" pivotButton="0" quotePrefix="0" xfId="0">
      <alignment horizontal="left" vertical="center" wrapText="1"/>
    </xf>
    <xf numFmtId="165" fontId="18" fillId="7" borderId="2" applyAlignment="1" pivotButton="0" quotePrefix="0" xfId="0">
      <alignment horizontal="center" vertical="center" wrapText="1"/>
    </xf>
    <xf numFmtId="165" fontId="19" fillId="7" borderId="2" applyAlignment="1" pivotButton="0" quotePrefix="0" xfId="0">
      <alignment horizontal="center" vertical="center" wrapText="1"/>
    </xf>
    <xf numFmtId="0" fontId="12" fillId="9" borderId="2" applyAlignment="1" pivotButton="0" quotePrefix="0" xfId="0">
      <alignment horizontal="left" vertical="center" wrapText="1"/>
    </xf>
    <xf numFmtId="0" fontId="20" fillId="9" borderId="2" applyAlignment="1" pivotButton="0" quotePrefix="0" xfId="0">
      <alignment horizontal="center" vertical="center" wrapText="1"/>
    </xf>
    <xf numFmtId="0" fontId="14" fillId="9" borderId="2" applyAlignment="1" pivotButton="0" quotePrefix="0" xfId="0">
      <alignment horizontal="left" vertical="center" wrapText="1"/>
    </xf>
    <xf numFmtId="0" fontId="14" fillId="9" borderId="2" applyAlignment="1" pivotButton="0" quotePrefix="0" xfId="0">
      <alignment horizontal="center" vertical="center" wrapText="1"/>
    </xf>
    <xf numFmtId="164" fontId="15" fillId="9" borderId="2" applyAlignment="1" pivotButton="0" quotePrefix="0" xfId="0">
      <alignment horizontal="center" vertical="center" wrapText="1"/>
    </xf>
    <xf numFmtId="165" fontId="16" fillId="9" borderId="2" applyAlignment="1" pivotButton="0" quotePrefix="0" xfId="0">
      <alignment horizontal="center" vertical="center" wrapText="1"/>
    </xf>
    <xf numFmtId="0" fontId="17" fillId="9" borderId="2" applyAlignment="1" pivotButton="0" quotePrefix="0" xfId="0">
      <alignment horizontal="left" vertical="center" wrapText="1"/>
    </xf>
    <xf numFmtId="165" fontId="19" fillId="9" borderId="2" applyAlignment="1" pivotButton="0" quotePrefix="0" xfId="0">
      <alignment horizontal="center" vertical="center" wrapText="1"/>
    </xf>
    <xf numFmtId="165" fontId="18" fillId="9" borderId="2" applyAlignment="1" pivotButton="0" quotePrefix="0" xfId="0">
      <alignment horizontal="center" vertical="center" wrapText="1"/>
    </xf>
    <xf numFmtId="0" fontId="12" fillId="10" borderId="2" applyAlignment="1" pivotButton="0" quotePrefix="0" xfId="0">
      <alignment horizontal="left" vertical="center" wrapText="1"/>
    </xf>
    <xf numFmtId="0" fontId="21" fillId="10" borderId="2" applyAlignment="1" pivotButton="0" quotePrefix="0" xfId="0">
      <alignment horizontal="center" vertical="center" wrapText="1"/>
    </xf>
    <xf numFmtId="0" fontId="14" fillId="10" borderId="2" applyAlignment="1" pivotButton="0" quotePrefix="0" xfId="0">
      <alignment horizontal="left" vertical="center" wrapText="1"/>
    </xf>
    <xf numFmtId="0" fontId="14" fillId="10" borderId="2" applyAlignment="1" pivotButton="0" quotePrefix="0" xfId="0">
      <alignment horizontal="center" vertical="center" wrapText="1"/>
    </xf>
    <xf numFmtId="164" fontId="15" fillId="10" borderId="2" applyAlignment="1" pivotButton="0" quotePrefix="0" xfId="0">
      <alignment horizontal="center" vertical="center" wrapText="1"/>
    </xf>
    <xf numFmtId="165" fontId="18" fillId="10" borderId="2" applyAlignment="1" pivotButton="0" quotePrefix="0" xfId="0">
      <alignment horizontal="center" vertical="center" wrapText="1"/>
    </xf>
    <xf numFmtId="165" fontId="19" fillId="10" borderId="2" applyAlignment="1" pivotButton="0" quotePrefix="0" xfId="0">
      <alignment horizontal="center" vertical="center" wrapText="1"/>
    </xf>
    <xf numFmtId="165" fontId="16" fillId="10" borderId="2" applyAlignment="1" pivotButton="0" quotePrefix="0" xfId="0">
      <alignment horizontal="center" vertical="center" wrapText="1"/>
    </xf>
    <xf numFmtId="0" fontId="17" fillId="10" borderId="2" applyAlignment="1" pivotButton="0" quotePrefix="0" xfId="0">
      <alignment horizontal="left" vertical="center" wrapText="1"/>
    </xf>
    <xf numFmtId="0" fontId="24" fillId="9" borderId="3" applyAlignment="1" pivotButton="0" quotePrefix="0" xfId="0">
      <alignment horizontal="center" vertical="center"/>
    </xf>
    <xf numFmtId="0" fontId="12" fillId="7" borderId="4" applyAlignment="1" pivotButton="0" quotePrefix="0" xfId="0">
      <alignment horizontal="left" vertical="center" wrapText="1"/>
    </xf>
    <xf numFmtId="0" fontId="16" fillId="7" borderId="0" applyAlignment="1" pivotButton="0" quotePrefix="0" xfId="0">
      <alignment horizontal="center" vertical="center"/>
    </xf>
    <xf numFmtId="0" fontId="14" fillId="7" borderId="4" applyAlignment="1" pivotButton="0" quotePrefix="0" xfId="0">
      <alignment horizontal="left" vertical="center" wrapText="1"/>
    </xf>
    <xf numFmtId="164" fontId="15" fillId="7" borderId="0" applyAlignment="1" pivotButton="0" quotePrefix="0" xfId="0">
      <alignment horizontal="center" vertical="center"/>
    </xf>
    <xf numFmtId="165" fontId="12" fillId="7" borderId="2" applyAlignment="1" pivotButton="0" quotePrefix="0" xfId="0">
      <alignment horizontal="center" vertical="center"/>
    </xf>
    <xf numFmtId="0" fontId="26" fillId="7" borderId="2" applyAlignment="1" pivotButton="0" quotePrefix="0" xfId="0">
      <alignment horizontal="center" vertical="center"/>
    </xf>
    <xf numFmtId="165" fontId="14" fillId="7" borderId="2" applyAlignment="1" pivotButton="0" quotePrefix="0" xfId="0">
      <alignment horizontal="center" vertical="center"/>
    </xf>
    <xf numFmtId="165" fontId="27" fillId="7" borderId="2" applyAlignment="1" pivotButton="0" quotePrefix="0" xfId="0">
      <alignment horizontal="center" vertical="center"/>
    </xf>
    <xf numFmtId="0" fontId="0" fillId="7" borderId="0" applyAlignment="1" pivotButton="0" quotePrefix="0" xfId="0">
      <alignment horizontal="center" vertical="center"/>
    </xf>
    <xf numFmtId="0" fontId="12" fillId="9" borderId="4" applyAlignment="1" pivotButton="0" quotePrefix="0" xfId="0">
      <alignment horizontal="left" vertical="center" wrapText="1"/>
    </xf>
    <xf numFmtId="0" fontId="28" fillId="9" borderId="0" applyAlignment="1" pivotButton="0" quotePrefix="0" xfId="0">
      <alignment horizontal="center" vertical="center"/>
    </xf>
    <xf numFmtId="0" fontId="14" fillId="9" borderId="4" applyAlignment="1" pivotButton="0" quotePrefix="0" xfId="0">
      <alignment horizontal="left" vertical="center" wrapText="1"/>
    </xf>
    <xf numFmtId="164" fontId="15" fillId="9" borderId="0" applyAlignment="1" pivotButton="0" quotePrefix="0" xfId="0">
      <alignment horizontal="center" vertical="center"/>
    </xf>
    <xf numFmtId="0" fontId="26" fillId="9" borderId="2" applyAlignment="1" pivotButton="0" quotePrefix="0" xfId="0">
      <alignment horizontal="center" vertical="center"/>
    </xf>
    <xf numFmtId="165" fontId="12" fillId="9" borderId="2" applyAlignment="1" pivotButton="0" quotePrefix="0" xfId="0">
      <alignment horizontal="center" vertical="center"/>
    </xf>
    <xf numFmtId="165" fontId="27" fillId="9" borderId="2" applyAlignment="1" pivotButton="0" quotePrefix="0" xfId="0">
      <alignment horizontal="center" vertical="center"/>
    </xf>
    <xf numFmtId="165" fontId="14" fillId="9" borderId="2" applyAlignment="1" pivotButton="0" quotePrefix="0" xfId="0">
      <alignment horizontal="center" vertical="center"/>
    </xf>
    <xf numFmtId="0" fontId="0" fillId="9" borderId="0" applyAlignment="1" pivotButton="0" quotePrefix="0" xfId="0">
      <alignment horizontal="center" vertical="center"/>
    </xf>
    <xf numFmtId="165" fontId="14" fillId="9" borderId="2" applyAlignment="1" pivotButton="0" quotePrefix="0" xfId="0">
      <alignment horizontal="center" vertical="center" wrapText="1"/>
    </xf>
    <xf numFmtId="0" fontId="12" fillId="7" borderId="2" applyAlignment="1" pivotButton="0" quotePrefix="0" xfId="0">
      <alignment horizontal="left" vertical="center"/>
    </xf>
    <xf numFmtId="0" fontId="16" fillId="7" borderId="2" applyAlignment="1" pivotButton="0" quotePrefix="0" xfId="0">
      <alignment horizontal="center" vertical="center"/>
    </xf>
    <xf numFmtId="166" fontId="12" fillId="7" borderId="2" applyAlignment="1" pivotButton="0" quotePrefix="0" xfId="0">
      <alignment horizontal="center" vertical="center"/>
    </xf>
    <xf numFmtId="0" fontId="14" fillId="7" borderId="2" applyAlignment="1" pivotButton="0" quotePrefix="0" xfId="0">
      <alignment horizontal="center" vertical="center"/>
    </xf>
    <xf numFmtId="164" fontId="32" fillId="16" borderId="2" applyAlignment="1" pivotButton="0" quotePrefix="0" xfId="0">
      <alignment horizontal="center" vertical="center"/>
    </xf>
    <xf numFmtId="164" fontId="14" fillId="7" borderId="2" applyAlignment="1" pivotButton="0" quotePrefix="0" xfId="0">
      <alignment horizontal="center" vertical="center"/>
    </xf>
    <xf numFmtId="164" fontId="33" fillId="17" borderId="2" applyAlignment="1" pivotButton="0" quotePrefix="0" xfId="0">
      <alignment horizontal="center" vertical="center"/>
    </xf>
    <xf numFmtId="164" fontId="27" fillId="7" borderId="2" applyAlignment="1" pivotButton="0" quotePrefix="0" xfId="0">
      <alignment horizontal="center" vertical="center"/>
    </xf>
    <xf numFmtId="166" fontId="14" fillId="7" borderId="2" applyAlignment="1" pivotButton="0" quotePrefix="0" xfId="0">
      <alignment horizontal="center" vertical="center"/>
    </xf>
    <xf numFmtId="164" fontId="34" fillId="14" borderId="2" applyAlignment="1" pivotButton="0" quotePrefix="0" xfId="0">
      <alignment horizontal="center" vertical="center"/>
    </xf>
    <xf numFmtId="0" fontId="12" fillId="9" borderId="2" applyAlignment="1" pivotButton="0" quotePrefix="0" xfId="0">
      <alignment horizontal="left" vertical="center"/>
    </xf>
    <xf numFmtId="0" fontId="28" fillId="9" borderId="2" applyAlignment="1" pivotButton="0" quotePrefix="0" xfId="0">
      <alignment horizontal="center" vertical="center"/>
    </xf>
    <xf numFmtId="166" fontId="14" fillId="9" borderId="2" applyAlignment="1" pivotButton="0" quotePrefix="0" xfId="0">
      <alignment horizontal="center" vertical="center"/>
    </xf>
    <xf numFmtId="0" fontId="14" fillId="9" borderId="2" applyAlignment="1" pivotButton="0" quotePrefix="0" xfId="0">
      <alignment horizontal="center" vertical="center"/>
    </xf>
    <xf numFmtId="164" fontId="27" fillId="9" borderId="2" applyAlignment="1" pivotButton="0" quotePrefix="0" xfId="0">
      <alignment horizontal="center" vertical="center"/>
    </xf>
    <xf numFmtId="166" fontId="12" fillId="9" borderId="2" applyAlignment="1" pivotButton="0" quotePrefix="0" xfId="0">
      <alignment horizontal="center" vertical="center"/>
    </xf>
    <xf numFmtId="164" fontId="14" fillId="9" borderId="2" applyAlignment="1" pivotButton="0" quotePrefix="0" xfId="0">
      <alignment horizontal="center" vertical="center"/>
    </xf>
    <xf numFmtId="0" fontId="12" fillId="10" borderId="2" applyAlignment="1" pivotButton="0" quotePrefix="0" xfId="0">
      <alignment horizontal="left" vertical="center"/>
    </xf>
    <xf numFmtId="0" fontId="35" fillId="10" borderId="2" applyAlignment="1" pivotButton="0" quotePrefix="0" xfId="0">
      <alignment horizontal="center" vertical="center"/>
    </xf>
    <xf numFmtId="166" fontId="12" fillId="10" borderId="2" applyAlignment="1" pivotButton="0" quotePrefix="0" xfId="0">
      <alignment horizontal="center" vertical="center"/>
    </xf>
    <xf numFmtId="0" fontId="14" fillId="10" borderId="2" applyAlignment="1" pivotButton="0" quotePrefix="0" xfId="0">
      <alignment horizontal="center" vertical="center"/>
    </xf>
    <xf numFmtId="164" fontId="14" fillId="10" borderId="2" applyAlignment="1" pivotButton="0" quotePrefix="0" xfId="0">
      <alignment horizontal="center" vertical="center"/>
    </xf>
    <xf numFmtId="166" fontId="14" fillId="10" borderId="2" applyAlignment="1" pivotButton="0" quotePrefix="0" xfId="0">
      <alignment horizontal="center" vertical="center"/>
    </xf>
    <xf numFmtId="164" fontId="27" fillId="10" borderId="2" applyAlignment="1" pivotButton="0" quotePrefix="0" xfId="0">
      <alignment horizontal="center" vertical="center"/>
    </xf>
    <xf numFmtId="166" fontId="36" fillId="18" borderId="2" applyAlignment="1" pivotButton="0" quotePrefix="0" xfId="0">
      <alignment horizontal="center" vertical="center"/>
    </xf>
    <xf numFmtId="166" fontId="36" fillId="19" borderId="2" applyAlignment="1" pivotButton="0" quotePrefix="0" xfId="0">
      <alignment horizontal="center" vertical="center"/>
    </xf>
    <xf numFmtId="166" fontId="37" fillId="20" borderId="2" applyAlignment="1" pivotButton="0" quotePrefix="0" xfId="0">
      <alignment horizontal="center" vertical="center"/>
    </xf>
    <xf numFmtId="166" fontId="38" fillId="21" borderId="2" applyAlignment="1" pivotButton="0" quotePrefix="0" xfId="0">
      <alignment horizontal="center" vertical="center"/>
    </xf>
    <xf numFmtId="166" fontId="39" fillId="22" borderId="2" applyAlignment="1" pivotButton="0" quotePrefix="0" xfId="0">
      <alignment horizontal="center" vertical="center"/>
    </xf>
    <xf numFmtId="0" fontId="10" fillId="19" borderId="4" applyAlignment="1" pivotButton="0" quotePrefix="0" xfId="0">
      <alignment horizontal="center" vertical="center"/>
    </xf>
    <xf numFmtId="0" fontId="10" fillId="18" borderId="4" applyAlignment="1" pivotButton="0" quotePrefix="0" xfId="0">
      <alignment horizontal="center" vertical="center"/>
    </xf>
    <xf numFmtId="0" fontId="40" fillId="22" borderId="4" applyAlignment="1" pivotButton="0" quotePrefix="0" xfId="0">
      <alignment horizontal="center" vertical="center"/>
    </xf>
    <xf numFmtId="0" fontId="41" fillId="20" borderId="4" applyAlignment="1" pivotButton="0" quotePrefix="0" xfId="0">
      <alignment horizontal="center" vertical="center"/>
    </xf>
    <xf numFmtId="0" fontId="42" fillId="21" borderId="4" applyAlignment="1" pivotButton="0" quotePrefix="0" xfId="0">
      <alignment horizontal="center" vertical="center"/>
    </xf>
    <xf numFmtId="0" fontId="14" fillId="7" borderId="2" pivotButton="0" quotePrefix="0" xfId="0"/>
    <xf numFmtId="0" fontId="34" fillId="14" borderId="2" pivotButton="0" quotePrefix="0" xfId="0"/>
    <xf numFmtId="0" fontId="27" fillId="7" borderId="2" pivotButton="0" quotePrefix="0" xfId="0"/>
    <xf numFmtId="0" fontId="14" fillId="9" borderId="2" pivotButton="0" quotePrefix="0" xfId="0"/>
    <xf numFmtId="0" fontId="32" fillId="16" borderId="2" pivotButton="0" quotePrefix="0" xfId="0"/>
    <xf numFmtId="0" fontId="27" fillId="9" borderId="2" pivotButton="0" quotePrefix="0" xfId="0"/>
    <xf numFmtId="0" fontId="14" fillId="10" borderId="2" pivotButton="0" quotePrefix="0" xfId="0"/>
    <xf numFmtId="0" fontId="27" fillId="10" borderId="2" pivotButton="0" quotePrefix="0" xfId="0"/>
    <xf numFmtId="0" fontId="12" fillId="23" borderId="0" pivotButton="0" quotePrefix="0" xfId="0"/>
    <xf numFmtId="0" fontId="12" fillId="23" borderId="2" pivotButton="0" quotePrefix="0" xfId="0"/>
    <xf numFmtId="0" fontId="11" fillId="23" borderId="0" pivotButton="0" quotePrefix="0" xfId="0"/>
    <xf numFmtId="0" fontId="12" fillId="23" borderId="2" applyAlignment="1" pivotButton="0" quotePrefix="0" xfId="0">
      <alignment horizontal="left" vertical="center" wrapText="1"/>
    </xf>
    <xf numFmtId="0" fontId="12" fillId="23" borderId="2" applyAlignment="1" pivotButton="0" quotePrefix="0" xfId="0">
      <alignment horizontal="center" vertical="center" wrapText="1"/>
    </xf>
    <xf numFmtId="10" fontId="44" fillId="23" borderId="2" applyAlignment="1" pivotButton="0" quotePrefix="0" xfId="1">
      <alignment horizontal="center" vertical="center" wrapText="1"/>
    </xf>
    <xf numFmtId="167" fontId="12" fillId="23" borderId="2" applyAlignment="1" pivotButton="0" quotePrefix="0" xfId="0">
      <alignment horizontal="center" vertical="center" wrapText="1"/>
    </xf>
    <xf numFmtId="164" fontId="44" fillId="23" borderId="2" applyAlignment="1" pivotButton="0" quotePrefix="0" xfId="1">
      <alignment horizontal="center" vertical="center" wrapText="1"/>
    </xf>
    <xf numFmtId="0" fontId="12" fillId="23" borderId="0" applyAlignment="1" pivotButton="0" quotePrefix="0" xfId="0">
      <alignment horizontal="left" vertical="center" wrapText="1"/>
    </xf>
    <xf numFmtId="0" fontId="12" fillId="23" borderId="0" applyAlignment="1" pivotButton="0" quotePrefix="0" xfId="0">
      <alignment horizontal="center" vertical="center" wrapText="1"/>
    </xf>
    <xf numFmtId="164" fontId="44" fillId="23" borderId="0" applyAlignment="1" pivotButton="0" quotePrefix="0" xfId="1">
      <alignment horizontal="center" vertical="center" wrapText="1"/>
    </xf>
    <xf numFmtId="0" fontId="12" fillId="23" borderId="5" applyAlignment="1" pivotButton="0" quotePrefix="0" xfId="0">
      <alignment horizontal="left" vertical="center" wrapText="1"/>
    </xf>
    <xf numFmtId="0" fontId="11" fillId="3" borderId="0" applyAlignment="1" pivotButton="0" quotePrefix="0" xfId="0">
      <alignment horizontal="left" vertical="center"/>
    </xf>
    <xf numFmtId="0" fontId="9" fillId="4" borderId="0" applyAlignment="1" pivotButton="0" quotePrefix="0" xfId="0">
      <alignment horizontal="center" vertical="center"/>
    </xf>
    <xf numFmtId="0" fontId="0" fillId="0" borderId="0" pivotButton="0" quotePrefix="0" xfId="0"/>
    <xf numFmtId="0" fontId="8" fillId="3" borderId="0" applyAlignment="1" pivotButton="0" quotePrefix="0" xfId="0">
      <alignment horizontal="center" vertical="center"/>
    </xf>
    <xf numFmtId="0" fontId="11" fillId="6" borderId="0" applyAlignment="1" pivotButton="0" quotePrefix="0" xfId="0">
      <alignment horizontal="left" vertical="center"/>
    </xf>
    <xf numFmtId="0" fontId="11" fillId="8" borderId="0" applyAlignment="1" pivotButton="0" quotePrefix="0" xfId="0">
      <alignment horizontal="left" vertical="center"/>
    </xf>
    <xf numFmtId="0" fontId="29" fillId="12" borderId="0" applyAlignment="1" pivotButton="0" quotePrefix="0" xfId="0">
      <alignment vertical="center" wrapText="1"/>
    </xf>
    <xf numFmtId="0" fontId="25" fillId="0" borderId="0" applyAlignment="1" pivotButton="0" quotePrefix="0" xfId="0">
      <alignment horizontal="left" vertical="center"/>
    </xf>
    <xf numFmtId="0" fontId="23" fillId="11" borderId="0" applyAlignment="1" pivotButton="0" quotePrefix="0" xfId="0">
      <alignment horizontal="center" vertical="center"/>
    </xf>
    <xf numFmtId="0" fontId="22" fillId="4" borderId="0" applyAlignment="1" pivotButton="0" quotePrefix="0" xfId="0">
      <alignment horizontal="center" vertical="center"/>
    </xf>
    <xf numFmtId="0" fontId="11" fillId="8" borderId="0" applyAlignment="1" pivotButton="0" quotePrefix="0" xfId="0">
      <alignment horizontal="left" vertical="center" wrapText="1"/>
    </xf>
    <xf numFmtId="0" fontId="30" fillId="13" borderId="0" applyAlignment="1" pivotButton="0" quotePrefix="0" xfId="0">
      <alignment horizontal="center" vertical="center"/>
    </xf>
    <xf numFmtId="0" fontId="11" fillId="6" borderId="0" applyAlignment="1" pivotButton="0" quotePrefix="0" xfId="0">
      <alignment horizontal="left" vertical="center" wrapText="1"/>
    </xf>
    <xf numFmtId="0" fontId="30" fillId="14" borderId="0" applyAlignment="1" pivotButton="0" quotePrefix="0" xfId="0">
      <alignment horizontal="center" vertical="center"/>
    </xf>
    <xf numFmtId="0" fontId="30" fillId="15" borderId="0" applyAlignment="1" pivotButton="0" quotePrefix="0" xfId="0">
      <alignment horizontal="center" vertical="center"/>
    </xf>
    <xf numFmtId="0" fontId="30" fillId="16" borderId="0" applyAlignment="1" pivotButton="0" quotePrefix="0" xfId="0">
      <alignment horizontal="center" vertical="center"/>
    </xf>
    <xf numFmtId="0" fontId="22" fillId="0" borderId="0" applyAlignment="1" pivotButton="0" quotePrefix="0" xfId="0">
      <alignment horizontal="center" vertical="center"/>
    </xf>
    <xf numFmtId="0" fontId="31" fillId="3" borderId="0" applyAlignment="1" pivotButton="0" quotePrefix="0" xfId="0">
      <alignment horizontal="center" vertical="center"/>
    </xf>
    <xf numFmtId="0" fontId="12" fillId="0" borderId="0" pivotButton="0" quotePrefix="0" xfId="0"/>
    <xf numFmtId="0" fontId="1" fillId="0" borderId="0" pivotButton="0" quotePrefix="0" xfId="2"/>
    <xf numFmtId="0" fontId="46" fillId="26"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27"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27" borderId="0" pivotButton="0" quotePrefix="0" xfId="2"/>
    <xf numFmtId="0" fontId="1" fillId="0" borderId="0" pivotButton="0" quotePrefix="0" xfId="2"/>
    <xf numFmtId="0" fontId="47" fillId="0"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25"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1" fillId="0" borderId="0" pivotButton="0" quotePrefix="0" xfId="2"/>
    <xf numFmtId="0" fontId="47" fillId="0" borderId="0" pivotButton="0" quotePrefix="0" xfId="2"/>
    <xf numFmtId="0" fontId="1" fillId="24" borderId="0" pivotButton="0" quotePrefix="0" xfId="2"/>
    <xf numFmtId="0" fontId="49" fillId="28" borderId="0" applyAlignment="1" pivotButton="0" quotePrefix="0" xfId="0">
      <alignment vertical="center" wrapText="1"/>
    </xf>
    <xf numFmtId="0" fontId="48" fillId="0" borderId="0" pivotButton="0" quotePrefix="0" xfId="0"/>
  </cellXfs>
  <cellStyles count="3">
    <cellStyle name="Normal" xfId="0" builtinId="0"/>
    <cellStyle name="Percent" xfId="1" builtinId="5"/>
    <cellStyle name="Normal 2" xfId="2"/>
  </cellStyles>
  <tableStyles count="0" defaultTableStyle="TableStyleMedium2" defaultPivotStyle="PivotStyleLight16"/>
  <colors>
    <indexedColors>
      <rgbColor rgb="FF000000"/>
      <rgbColor rgb="FFFFFFFF"/>
      <rgbColor rgb="FFE53935"/>
      <rgbColor rgb="FF00FF00"/>
      <rgbColor rgb="FF0000FF"/>
      <rgbColor rgb="FFFFFDE7"/>
      <rgbColor rgb="FFFF00FF"/>
      <rgbColor rgb="FF00FFFF"/>
      <rgbColor rgb="FF5D4037"/>
      <rgbColor rgb="FF1B5E20"/>
      <rgbColor rgb="FF1C2B3A"/>
      <rgbColor rgb="FF616161"/>
      <rgbColor rgb="FF7B1FA2"/>
      <rgbColor rgb="FF00838F"/>
      <rgbColor rgb="FFBDBDBD"/>
      <rgbColor rgb="FF607D8B"/>
      <rgbColor rgb="FFB0C4DE"/>
      <rgbColor rgb="FFAD1457"/>
      <rgbColor rgb="FFFFF9C4"/>
      <rgbColor rgb="FFE3F2FD"/>
      <rgbColor rgb="FF4E342E"/>
      <rgbColor rgb="FFFAFAFA"/>
      <rgbColor rgb="FF1565C0"/>
      <rgbColor rgb="FFCFD8DC"/>
      <rgbColor rgb="FF1A4731"/>
      <rgbColor rgb="FFFF00FF"/>
      <rgbColor rgb="FFE8F5E9"/>
      <rgbColor rgb="FF00FFFF"/>
      <rgbColor rgb="FF2E4A6B"/>
      <rgbColor rgb="FF800000"/>
      <rgbColor rgb="FF33691E"/>
      <rgbColor rgb="FF0000FF"/>
      <rgbColor rgb="FF00CCFF"/>
      <rgbColor rgb="FFE3F0FF"/>
      <rgbColor rgb="FFDCEDC8"/>
      <rgbColor rgb="FFFFE0B2"/>
      <rgbColor rgb="FF90CAF9"/>
      <rgbColor rgb="FFC8E6C9"/>
      <rgbColor rgb="FFBBDEFB"/>
      <rgbColor rgb="FFFFCCBC"/>
      <rgbColor rgb="FF0D47A1"/>
      <rgbColor rgb="FF42A5F5"/>
      <rgbColor rgb="FF99CC00"/>
      <rgbColor rgb="FFF5F5F5"/>
      <rgbColor rgb="FFFF9900"/>
      <rgbColor rgb="FFE65100"/>
      <rgbColor rgb="FF546E7A"/>
      <rgbColor rgb="FF9E9E9E"/>
      <rgbColor rgb="FF1F3A5F"/>
      <rgbColor rgb="FF2E7D32"/>
      <rgbColor rgb="FF212121"/>
      <rgbColor rgb="FF4A3500"/>
      <rgbColor rgb="FFBF360C"/>
      <rgbColor rgb="FFC62828"/>
      <rgbColor rgb="FF1A237E"/>
      <rgbColor rgb="FF24344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E53935"/>
    <outlinePr summaryBelow="1" summaryRight="1"/>
    <pageSetUpPr/>
  </sheetPr>
  <dimension ref="B2:B23"/>
  <sheetViews>
    <sheetView zoomScaleNormal="100" workbookViewId="0">
      <selection activeCell="A1" sqref="A1"/>
    </sheetView>
  </sheetViews>
  <sheetFormatPr baseColWidth="8" defaultColWidth="8.7109375" defaultRowHeight="15"/>
  <cols>
    <col width="3" customWidth="1" style="111" min="1" max="1"/>
    <col width="90" customWidth="1" style="111" min="2" max="2"/>
  </cols>
  <sheetData>
    <row r="2" ht="39.75" customHeight="1" s="111">
      <c r="B2" s="1" t="inlineStr">
        <is>
          <t>⚡  HEN Real-Time Congestion Playbook</t>
        </is>
      </c>
    </row>
    <row r="3">
      <c r="B3" s="2" t="inlineStr">
        <is>
          <t>Hunt Energy Network  |  For Internal NOC Use Only</t>
        </is>
      </c>
    </row>
    <row r="5" ht="15" customHeight="1" s="111"/>
    <row r="6" ht="31.5" customHeight="1" s="111">
      <c r="B6" s="3" t="inlineStr">
        <is>
          <t>IMPORTANT — Please read before using this tool</t>
        </is>
      </c>
    </row>
    <row r="7" ht="15" customHeight="1" s="111"/>
    <row r="8" ht="24" customHeight="1" s="111">
      <c r="B8" s="4" t="inlineStr">
        <is>
          <t>📋  Purpose</t>
        </is>
      </c>
    </row>
    <row r="9" ht="60" customHeight="1" s="111">
      <c r="B9" s="5" t="inlineStr">
        <is>
          <t>This playbook is a reference tool to help operators quickly assess congestion as it happens in real time. Use it to build situational awareness around constraints you're seeing on screen — not as a hard trigger or automated signal.</t>
        </is>
      </c>
    </row>
    <row r="10" ht="15" customHeight="1" s="111"/>
    <row r="11" ht="24" customHeight="1" s="111">
      <c r="B11" s="4" t="inlineStr">
        <is>
          <t>⚠️  Data Limitations</t>
        </is>
      </c>
    </row>
    <row r="12" ht="60" customHeight="1" s="111">
      <c r="B12" s="5" t="inlineStr">
        <is>
          <t>The shadow pricing, shift factors, and MCC estimates here are derived from a specific historical study period (Apr 2025 – May 2026). Values shown are approximations based on the best information available at the time of analysis.
Nodes, shift factors, and priority designations should be treated as starting points — not hard numbers.</t>
        </is>
      </c>
    </row>
    <row r="13" ht="15" customHeight="1" s="111"/>
    <row r="14" ht="24" customHeight="1" s="111">
      <c r="B14" s="4" t="inlineStr">
        <is>
          <t>🔄  ERCOT Topology Changes Constantly</t>
        </is>
      </c>
    </row>
    <row r="15" ht="60" customHeight="1" s="111">
      <c r="B15" s="5" t="inlineStr">
        <is>
          <t>Transmission outages, new generation interconnections, seasonal load shifts, and topology changes mean the grid you're operating today may respond differently than the grid used in this analysis. A constraint that behaved predictably in the past may not behave the same way every night.
ALWAYS reference current outage conditions before acting. TOPOLOGY IS CONSTANTLY CHANGING.</t>
        </is>
      </c>
    </row>
    <row r="16" ht="15" customHeight="1" s="111"/>
    <row r="17" ht="24" customHeight="1" s="111">
      <c r="B17" s="4" t="inlineStr">
        <is>
          <t>📝  Keep the Notes Column Current</t>
        </is>
      </c>
    </row>
    <row r="18" ht="60" customHeight="1" s="111">
      <c r="B18" s="5" t="inlineStr">
        <is>
          <t>This tool is only as good as the information we put into it. If you observe new patterns, updated line behavior, or anything that doesn't match what you're seeing — add a note. The Operator Notes column is the most valuable part of this sheet over time.</t>
        </is>
      </c>
    </row>
    <row r="19" ht="15" customHeight="1" s="111"/>
    <row r="20" ht="24" customHeight="1" s="111">
      <c r="B20" s="4" t="inlineStr">
        <is>
          <t>✅  How to Use</t>
        </is>
      </c>
    </row>
    <row r="21" ht="60" customHeight="1" s="111">
      <c r="B21" s="5" t="inlineStr">
        <is>
          <t>1.  See congestion on a line → find it in the Line Lookup tab
2.  Check Priority: 🟢 Active  |  🟡 Watch  |  ⚫ Low Priority
3.  Review Peak HE, Driver, and Primary Node &amp; SF
4.  Jump to seasonal tab (Summer/Fall/Winter/Spring) for that season's top lines
5.  Use the MCC Calculator tab to compute your site's real-time MCC from a shadow price
6.  Add observations to Operator Notes for the next shift</t>
        </is>
      </c>
    </row>
    <row r="22" ht="15" customHeight="1" s="111"/>
    <row r="23" ht="27.75" customHeight="1" s="111">
      <c r="B23" s="6" t="inlineStr">
        <is>
          <t>Hunt Energy Network  |  RT Congestion Playbook  |  For internal operator use only</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565C0"/>
    <outlinePr summaryBelow="1" summaryRight="1"/>
    <pageSetUpPr/>
  </sheetPr>
  <dimension ref="A1:O111"/>
  <sheetViews>
    <sheetView zoomScale="83" zoomScaleNormal="100" workbookViewId="0">
      <pane xSplit="1" ySplit="3" topLeftCell="B99" activePane="bottomRight" state="frozen"/>
      <selection pane="topRight" activeCell="B1" sqref="B1"/>
      <selection pane="bottomLeft" activeCell="A4" sqref="A4"/>
      <selection pane="bottomRight" activeCell="A107" sqref="A107"/>
    </sheetView>
  </sheetViews>
  <sheetFormatPr baseColWidth="8" defaultColWidth="8.7109375" defaultRowHeight="15"/>
  <cols>
    <col width="53.5703125" customWidth="1" style="111" min="1" max="1"/>
    <col width="12.140625" bestFit="1" customWidth="1" style="111" min="2" max="2"/>
    <col width="16" customWidth="1" style="111" min="3" max="3"/>
    <col width="15.7109375" bestFit="1" customWidth="1" style="111" min="4" max="4"/>
    <col width="92" bestFit="1" customWidth="1" style="111" min="5" max="5"/>
    <col width="18.140625" bestFit="1" customWidth="1" style="111" min="6" max="6"/>
    <col width="11.28515625" bestFit="1" customWidth="1" style="111" min="7" max="7"/>
    <col width="12.7109375" bestFit="1" customWidth="1" style="111" min="8" max="8"/>
    <col width="14.28515625" bestFit="1" customWidth="1" style="111" min="9" max="10"/>
    <col width="20" bestFit="1" customWidth="1" style="111" min="11" max="11"/>
    <col width="32.85546875" bestFit="1" customWidth="1" style="111" min="12" max="12"/>
    <col width="71.28515625" bestFit="1" customWidth="1" style="111" min="13" max="13"/>
  </cols>
  <sheetData>
    <row r="1" ht="18" customHeight="1" s="111">
      <c r="A1" s="112" t="inlineStr">
        <is>
          <t>HEN REAL-TIME CONGESTION PLAYBOOK — LINE LOOKUP</t>
        </is>
      </c>
    </row>
    <row r="2">
      <c r="A2" s="110" t="inlineStr">
        <is>
          <t>🟢 Active = Detailed analysis  |  🟡 Watch = Observed, limited data  |  ⚫ Low Priority = Outage-only or insufficient shift factor  |  Updated: May 2026</t>
        </is>
      </c>
    </row>
    <row r="3" ht="25.5" customHeight="1" s="111">
      <c r="A3" s="7" t="inlineStr">
        <is>
          <t>Line / Constraint</t>
        </is>
      </c>
      <c r="B3" s="7" t="inlineStr">
        <is>
          <t>Priority</t>
        </is>
      </c>
      <c r="C3" s="7" t="inlineStr">
        <is>
          <t>Season</t>
        </is>
      </c>
      <c r="D3" s="7" t="inlineStr">
        <is>
          <t>Peak HE
(Active Hrs)</t>
        </is>
      </c>
      <c r="E3" s="7" t="inlineStr">
        <is>
          <t>Gen Level Trigger
(What Drives It)</t>
        </is>
      </c>
      <c r="F3" s="7" t="inlineStr">
        <is>
          <t>Primary Node</t>
        </is>
      </c>
      <c r="G3" s="7" t="inlineStr">
        <is>
          <t>Shift
Factor</t>
        </is>
      </c>
      <c r="H3" s="7" t="inlineStr">
        <is>
          <t>MCC @
$500 SP</t>
        </is>
      </c>
      <c r="I3" s="7" t="inlineStr">
        <is>
          <t>MCC @
$1,000 SP</t>
        </is>
      </c>
      <c r="J3" s="7" t="inlineStr">
        <is>
          <t>MCC @
$2,000 SP</t>
        </is>
      </c>
      <c r="K3" s="7" t="inlineStr">
        <is>
          <t>Other Active
Nodes (SF)</t>
        </is>
      </c>
      <c r="L3" s="7" t="inlineStr">
        <is>
          <t>Hold Strategy /
Discharge Timing</t>
        </is>
      </c>
      <c r="M3" s="7" t="inlineStr">
        <is>
          <t>Operator Notes</t>
        </is>
      </c>
    </row>
    <row r="4">
      <c r="A4" s="113" t="inlineStr">
        <is>
          <t>🟢  ACTIVE — Priority Lines (Detailed Analysis Completed)</t>
        </is>
      </c>
    </row>
    <row r="5" ht="38.25" customHeight="1" s="111">
      <c r="A5" s="8" t="inlineStr">
        <is>
          <t>TWINBU-HARGROVE 138KV</t>
        </is>
      </c>
      <c r="B5" s="9" t="inlineStr">
        <is>
          <t>🟢 Active</t>
        </is>
      </c>
      <c r="C5" s="10" t="inlineStr">
        <is>
          <t>Summer and Winter</t>
        </is>
      </c>
      <c r="D5" s="11" t="inlineStr">
        <is>
          <t>HE5, HE6, HE4</t>
        </is>
      </c>
      <c r="E5" s="10" t="inlineStr">
        <is>
          <t>West wind sub 5GW is when we see it strongest. Since the start of RTC + B this number has been closer to 3GW.</t>
        </is>
      </c>
      <c r="F5" s="11" t="inlineStr">
        <is>
          <t>Russek (31.7%)</t>
        </is>
      </c>
      <c r="G5" s="12" t="n">
        <v>0.31665</v>
      </c>
      <c r="H5" s="13" t="n">
        <v>158.325</v>
      </c>
      <c r="I5" s="13" t="n">
        <v>316.65</v>
      </c>
      <c r="J5" s="13" t="n">
        <v>633.3</v>
      </c>
      <c r="K5" s="10" t="inlineStr">
        <is>
          <t>Hamilton (+6.8%)
Fort Duncan (+4.4%)</t>
        </is>
      </c>
      <c r="L5" s="10" t="inlineStr">
        <is>
          <t>Willing to sit on high pricing HE20-24.</t>
        </is>
      </c>
      <c r="M5" s="14" t="inlineStr">
        <is>
          <t>Watch to see if there is a hard cut off at HE4. Switches over to LAKENASW-SAMATHIS</t>
        </is>
      </c>
    </row>
    <row r="6" ht="25.5" customHeight="1" s="111">
      <c r="A6" s="8" t="inlineStr">
        <is>
          <t>FORTMA-YELWJCKT 138KV</t>
        </is>
      </c>
      <c r="B6" s="9" t="inlineStr">
        <is>
          <t>🟢 Active</t>
        </is>
      </c>
      <c r="C6" s="10" t="inlineStr">
        <is>
          <t xml:space="preserve">Structural congestion </t>
        </is>
      </c>
      <c r="D6" s="11" t="inlineStr">
        <is>
          <t>HE20-23</t>
        </is>
      </c>
      <c r="E6" s="10" t="inlineStr">
        <is>
          <t>Mostly seen overnight. Correlated when west dips below coastal wind generation. West wind gen generally has to be below 3GW</t>
        </is>
      </c>
      <c r="F6" s="11" t="inlineStr">
        <is>
          <t>Junction (50.0%)</t>
        </is>
      </c>
      <c r="G6" s="12" t="n">
        <v>0.5</v>
      </c>
      <c r="H6" s="13" t="n">
        <v>250</v>
      </c>
      <c r="I6" s="13" t="n">
        <v>500</v>
      </c>
      <c r="J6" s="13" t="n">
        <v>1000</v>
      </c>
      <c r="K6" s="10" t="inlineStr">
        <is>
          <t>Russek (+3.2%)</t>
        </is>
      </c>
      <c r="L6" s="10" t="n"/>
      <c r="M6" s="14" t="n"/>
    </row>
    <row r="7" ht="51" customHeight="1" s="111">
      <c r="A7" s="8" t="inlineStr">
        <is>
          <t>TREADWEL-YELWJCKT 138KV</t>
        </is>
      </c>
      <c r="B7" s="9" t="inlineStr">
        <is>
          <t>🟢 Active</t>
        </is>
      </c>
      <c r="C7" s="10" t="inlineStr">
        <is>
          <t>Mostly summer</t>
        </is>
      </c>
      <c r="D7" s="11" t="inlineStr">
        <is>
          <t>Solar window</t>
        </is>
      </c>
      <c r="E7" s="10" t="inlineStr">
        <is>
          <t>The primary driver for this congestion is high far west west wind + far west solar generation trying to push power up to the north DURING THE SOLAR WINDOW. What really needs to be considered with this congestion is how much renewables will be online, specifically wind from the west and solar from west and North.</t>
        </is>
      </c>
      <c r="F7" s="11" t="inlineStr">
        <is>
          <t>Junction (46.8%)</t>
        </is>
      </c>
      <c r="G7" s="12" t="n">
        <v>0.46755</v>
      </c>
      <c r="H7" s="13" t="n">
        <v>233.775</v>
      </c>
      <c r="I7" s="13" t="n">
        <v>467.55</v>
      </c>
      <c r="J7" s="13" t="n">
        <v>935.1</v>
      </c>
      <c r="K7" s="10" t="inlineStr">
        <is>
          <t>—</t>
        </is>
      </c>
      <c r="L7" s="10" t="n"/>
      <c r="M7" s="14" t="inlineStr">
        <is>
          <t>MW overload is around 200MW. Once we get close to this # line starts to bind. There's typically a lot of line outages in the region when we see this congestion pop up, so once you see it pop up, look into the line outages that stack up</t>
        </is>
      </c>
    </row>
    <row r="8" ht="51" customHeight="1" s="111">
      <c r="A8" s="8" t="inlineStr">
        <is>
          <t>WESTEX</t>
        </is>
      </c>
      <c r="B8" s="9" t="inlineStr">
        <is>
          <t>🟢 Active</t>
        </is>
      </c>
      <c r="C8" s="10" t="inlineStr">
        <is>
          <t>All</t>
        </is>
      </c>
      <c r="D8" s="11" t="inlineStr">
        <is>
          <t>HE20, HE19, HE12</t>
        </is>
      </c>
      <c r="E8" s="10" t="inlineStr">
        <is>
          <t xml:space="preserve">See flare up in days of high renewable generation. Our renewable generation number is 40GW for wind and solar, during days of load below 75GW. During days were load can reach 85-90GW we need to see 46GW+ of wind and solar. Seen in all hours of the day but most common during solar ramps. Shows up overnight when west Gen reaches above 15GW with a relatively low load. </t>
        </is>
      </c>
      <c r="F8" s="11" t="inlineStr">
        <is>
          <t>Diboll (19.4%)</t>
        </is>
      </c>
      <c r="G8" s="12" t="n">
        <v>0.19396</v>
      </c>
      <c r="H8" s="16" t="n">
        <v>96.98</v>
      </c>
      <c r="I8" s="13" t="n">
        <v>193.96</v>
      </c>
      <c r="J8" s="13" t="n">
        <v>387.92</v>
      </c>
      <c r="K8" s="10" t="inlineStr">
        <is>
          <t>Judkins (-71.8%)
Saddleback (-71.6%)
Russek (-66.0%)
Olney (-55.8%)</t>
        </is>
      </c>
      <c r="L8" s="10" t="n"/>
      <c r="M8" s="14" t="inlineStr">
        <is>
          <t xml:space="preserve">During the peak months, I think we need 45+GW of renewables online for this congestion to pop up. Especially when load reached 85GW+. </t>
        </is>
      </c>
    </row>
    <row r="9" ht="25.5" customHeight="1" s="111">
      <c r="A9" s="8" t="inlineStr">
        <is>
          <t>LNGSW-PRLSW 345KV</t>
        </is>
      </c>
      <c r="B9" s="9" t="inlineStr">
        <is>
          <t>🟢 Active</t>
        </is>
      </c>
      <c r="C9" s="10" t="inlineStr">
        <is>
          <t>All</t>
        </is>
      </c>
      <c r="D9" s="11" t="inlineStr">
        <is>
          <t>HE1, HE2, HE24</t>
        </is>
      </c>
      <c r="E9" s="10" t="inlineStr">
        <is>
          <t>This congestion is seen mostly overnight. Main driver on this line is when we see west wind gen reach above 10GW but haven't seen exposure since July 2026</t>
        </is>
      </c>
      <c r="F9" s="11" t="inlineStr">
        <is>
          <t>Judkins (21.3%)</t>
        </is>
      </c>
      <c r="G9" s="12" t="n">
        <v>0.21329</v>
      </c>
      <c r="H9" s="13" t="n">
        <v>106.645</v>
      </c>
      <c r="I9" s="13" t="n">
        <v>213.29</v>
      </c>
      <c r="J9" s="13" t="n">
        <v>426.58</v>
      </c>
      <c r="K9" s="10" t="inlineStr">
        <is>
          <t>Saddleback (+20.4%)
Russek (+7.0%)</t>
        </is>
      </c>
      <c r="L9" s="10" t="n"/>
      <c r="M9" s="14" t="n"/>
    </row>
    <row r="10" ht="38.25" customHeight="1" s="111">
      <c r="A10" s="8" t="inlineStr">
        <is>
          <t>E_PASP</t>
        </is>
      </c>
      <c r="B10" s="9" t="inlineStr">
        <is>
          <t>🟢 Active</t>
        </is>
      </c>
      <c r="C10" s="10" t="inlineStr">
        <is>
          <t>All</t>
        </is>
      </c>
      <c r="D10" s="11" t="inlineStr">
        <is>
          <t>HE20, HE19, HE18</t>
        </is>
      </c>
      <c r="E10" s="10" t="inlineStr">
        <is>
          <t>This congestion is seem mostly overnight. Main driver on this line is when we see west wind gen reach above 10GW.</t>
        </is>
      </c>
      <c r="F10" s="11" t="inlineStr">
        <is>
          <t>Junction (4.0%)</t>
        </is>
      </c>
      <c r="G10" s="12" t="n">
        <v>0.04</v>
      </c>
      <c r="H10" s="15" t="n">
        <v>20</v>
      </c>
      <c r="I10" s="15" t="n">
        <v>40</v>
      </c>
      <c r="J10" s="16" t="n">
        <v>80</v>
      </c>
      <c r="K10" s="10" t="inlineStr">
        <is>
          <t>Val Verde (-19.6%)
Holcomb (-13.8%)
Catarina (-8.6%)</t>
        </is>
      </c>
      <c r="L10" s="10" t="n"/>
      <c r="M10" s="14" t="n"/>
    </row>
    <row r="11" ht="63.75" customHeight="1" s="111">
      <c r="A11" s="8" t="inlineStr">
        <is>
          <t>PALOUSE-WOLFCAMP 138KV</t>
        </is>
      </c>
      <c r="B11" s="9" t="inlineStr">
        <is>
          <t>🟢 Active</t>
        </is>
      </c>
      <c r="C11" s="10" t="inlineStr">
        <is>
          <t>All but strong in summer</t>
        </is>
      </c>
      <c r="D11" s="11" t="inlineStr">
        <is>
          <t>HE16-18 strongest</t>
        </is>
      </c>
      <c r="E11" s="10" t="inlineStr">
        <is>
          <t xml:space="preserve">Strongest pricing seen in the summer (hot). When RT West load gets up to 9GW we will see this, especially when solar is ramping offline. It's driven by strong Far West solar and strong west wind. The combination of (Far west solar + West Wind) being above 10GW is a good indicator that we will see this congestion from 5pm-7pmish. </t>
        </is>
      </c>
      <c r="F11" s="11" t="inlineStr">
        <is>
          <t>Russek (30.6%)</t>
        </is>
      </c>
      <c r="G11" s="12" t="n">
        <v>0.30569</v>
      </c>
      <c r="H11" s="13" t="n">
        <v>152.845</v>
      </c>
      <c r="I11" s="13" t="n">
        <v>305.69</v>
      </c>
      <c r="J11" s="13" t="n">
        <v>611.38</v>
      </c>
      <c r="K11" s="10" t="inlineStr">
        <is>
          <t>—</t>
        </is>
      </c>
      <c r="L11" s="10" t="n"/>
      <c r="M11" s="14" t="inlineStr">
        <is>
          <t>When far west solar gen is ramping offline and South wind gen is ramping up, its common to see this congestion. Also need a decently high load from the west.</t>
        </is>
      </c>
    </row>
    <row r="12" ht="51" customHeight="1" s="111">
      <c r="A12" s="8" t="inlineStr">
        <is>
          <t>PILONCIL-NLARSW 138KV</t>
        </is>
      </c>
      <c r="B12" s="9" t="inlineStr">
        <is>
          <t>🟢 Active</t>
        </is>
      </c>
      <c r="C12" s="10" t="inlineStr">
        <is>
          <t>All</t>
        </is>
      </c>
      <c r="D12" s="11" t="inlineStr">
        <is>
          <t>All hours, track wind</t>
        </is>
      </c>
      <c r="E12" s="10" t="inlineStr">
        <is>
          <t>See this congestion pop up throughout the middle of the day. Can pair up/cancel out catarina congestion with ASHERTON-CATARINA but this congestion will stick if you have higher west wind with the very low south wind patterns. More than 2.5GW of west wind in the middle of the day should keep this congestion elevated in the middle of the day.</t>
        </is>
      </c>
      <c r="F12" s="11" t="inlineStr">
        <is>
          <t>Holcomb (23.8%)</t>
        </is>
      </c>
      <c r="G12" s="12" t="n">
        <v>0.23807</v>
      </c>
      <c r="H12" s="13" t="n">
        <v>119.035</v>
      </c>
      <c r="I12" s="13" t="n">
        <v>238.07</v>
      </c>
      <c r="J12" s="13" t="n">
        <v>476.14</v>
      </c>
      <c r="K12" s="10" t="inlineStr">
        <is>
          <t>Catarina (-26.5%)
Fort Duncan (-13.0%)
Hamilton (-9.4%)
Val Verde (+7.6%)</t>
        </is>
      </c>
      <c r="L12" s="10" t="inlineStr">
        <is>
          <t>really just important to track the wind. If South gen stays below 500MW and coastal is also below 500MW during middle of day</t>
        </is>
      </c>
      <c r="M12" s="14" t="n"/>
    </row>
    <row r="13" ht="51" customHeight="1" s="111">
      <c r="A13" s="8" t="inlineStr">
        <is>
          <t>NLARSW-PILONCIL 138KV</t>
        </is>
      </c>
      <c r="B13" s="9" t="inlineStr">
        <is>
          <t>🟢 Active</t>
        </is>
      </c>
      <c r="C13" s="10" t="inlineStr">
        <is>
          <t>All</t>
        </is>
      </c>
      <c r="D13" s="11" t="inlineStr">
        <is>
          <t>HE24, HE1, HE2</t>
        </is>
      </c>
      <c r="E13" s="10" t="inlineStr">
        <is>
          <t>This is a newer congestion… started in Nov 2025. see this congestion with coastal and south wind gen at 2.5GW+ with west wind dropping out or even below 10GW. Look to PILONCIL-NLARSW for negative congestion</t>
        </is>
      </c>
      <c r="F13" s="11" t="inlineStr">
        <is>
          <t>Catarina (26.0%)</t>
        </is>
      </c>
      <c r="G13" s="12" t="n">
        <v>0.26</v>
      </c>
      <c r="H13" s="13" t="n">
        <v>130</v>
      </c>
      <c r="I13" s="13" t="n">
        <v>260</v>
      </c>
      <c r="J13" s="13" t="n">
        <v>520</v>
      </c>
      <c r="K13" s="10" t="inlineStr">
        <is>
          <t>Fort Duncan (+12.0%)
Holcomb (-9.0%)
Hamilton (+8.6%)
Val Verde (-6.0%)</t>
        </is>
      </c>
      <c r="L13" s="10" t="n"/>
      <c r="M13" s="14" t="n"/>
    </row>
    <row r="14" ht="51" customHeight="1" s="111">
      <c r="A14" s="8" t="inlineStr">
        <is>
          <t>MGSES-CATSW 345KV</t>
        </is>
      </c>
      <c r="B14" s="9" t="inlineStr">
        <is>
          <t>🟢 Active</t>
        </is>
      </c>
      <c r="C14" s="10" t="inlineStr">
        <is>
          <t>All</t>
        </is>
      </c>
      <c r="D14" s="11" t="inlineStr">
        <is>
          <t>Overnight</t>
        </is>
      </c>
      <c r="E14" s="10" t="inlineStr">
        <is>
          <t>Newer congestion (start Nov 2025). Mostly see this congestion with cooler weather in the west creating higher load levels (9gw+) and wind sub 8GW. West wind is the major driver of this congestion. Common to see with west wind sub 3GW.</t>
        </is>
      </c>
      <c r="F14" s="11" t="inlineStr">
        <is>
          <t>Judkins (30.0%)</t>
        </is>
      </c>
      <c r="G14" s="12" t="n">
        <v>0.3</v>
      </c>
      <c r="H14" s="13" t="n">
        <v>150</v>
      </c>
      <c r="I14" s="13" t="n">
        <v>300</v>
      </c>
      <c r="J14" s="13" t="n">
        <v>600</v>
      </c>
      <c r="K14" s="10" t="inlineStr">
        <is>
          <t>Saddleback (+27.0%)
Russek (+10.0%)
Cisco (-8.0%)
Olney (-7.0%)</t>
        </is>
      </c>
      <c r="L14" s="10" t="n"/>
      <c r="M14" s="14" t="n"/>
    </row>
    <row r="15" ht="76.5" customHeight="1" s="111">
      <c r="A15" s="8" t="inlineStr">
        <is>
          <t>CRDSW-OLNEY 69KV</t>
        </is>
      </c>
      <c r="B15" s="9" t="inlineStr">
        <is>
          <t>🟢 Active</t>
        </is>
      </c>
      <c r="C15" s="10" t="inlineStr">
        <is>
          <t>spring and summer</t>
        </is>
      </c>
      <c r="D15" s="11" t="inlineStr">
        <is>
          <t>HE15-18</t>
        </is>
      </c>
      <c r="E15" s="10" t="inlineStr">
        <is>
          <t>See this on hot days where North load reaches up to 22GW+ of demand with high amounts of renewable online (use WESTEX flairing up as basis). Want 42+GW of solar + wind generation. 26MW flow rating, this limits the amount of MW we can put on this line</t>
        </is>
      </c>
      <c r="F15" s="11" t="inlineStr">
        <is>
          <t>Olney (78.7%)</t>
        </is>
      </c>
      <c r="G15" s="12" t="n">
        <v>0.78682</v>
      </c>
      <c r="H15" s="13" t="n">
        <v>393.41</v>
      </c>
      <c r="I15" s="13" t="n">
        <v>786.8200000000001</v>
      </c>
      <c r="J15" s="13" t="n">
        <v>1573.64</v>
      </c>
      <c r="K15" s="10" t="inlineStr">
        <is>
          <t>—</t>
        </is>
      </c>
      <c r="L15" s="10" t="inlineStr">
        <is>
          <t xml:space="preserve">Marginal offer line </t>
        </is>
      </c>
      <c r="M15" s="14" t="inlineStr">
        <is>
          <t>6630_A_LN outage impacts this line (per Enverus). Strong solar production, 90+ DFW Temps and good west wind production cause congestion here. Deplete before HE20</t>
        </is>
      </c>
    </row>
    <row r="16" ht="51" customHeight="1" s="111">
      <c r="A16" s="8" t="inlineStr">
        <is>
          <t>STP-WAP 345KV</t>
        </is>
      </c>
      <c r="B16" s="9" t="inlineStr">
        <is>
          <t>🟢 Active</t>
        </is>
      </c>
      <c r="C16" s="10" t="inlineStr">
        <is>
          <t>Summer</t>
        </is>
      </c>
      <c r="D16" s="11" t="inlineStr">
        <is>
          <t>HE17, HE16, HE13</t>
        </is>
      </c>
      <c r="E16" s="10" t="inlineStr">
        <is>
          <t>Def has to do with houston load during the summer heat. When houston load reaches above 18GW+ we will see this flare up. Need STP nuke units online also… if one of them is offline, this weakens congestion.</t>
        </is>
      </c>
      <c r="F16" s="11" t="inlineStr">
        <is>
          <t>Mainland (9.6%)</t>
        </is>
      </c>
      <c r="G16" s="12" t="n">
        <v>0.09569999999999999</v>
      </c>
      <c r="H16" s="13" t="n">
        <v>47.85</v>
      </c>
      <c r="I16" s="13" t="n">
        <v>95.7</v>
      </c>
      <c r="J16" s="13" t="n">
        <v>191.4</v>
      </c>
      <c r="K16" s="10" t="inlineStr">
        <is>
          <t>Val Verde (-11.3%)
Holcomb (-9.5%)
Catarina (-8.5%)
Fort Duncan (-7.0%)</t>
        </is>
      </c>
      <c r="L16" s="10" t="n"/>
      <c r="M16" s="14" t="n"/>
    </row>
    <row r="17" ht="51" customHeight="1" s="111">
      <c r="A17" s="8" t="inlineStr">
        <is>
          <t>ESCONDID-GANSO 138KV</t>
        </is>
      </c>
      <c r="B17" s="9" t="inlineStr">
        <is>
          <t>🟢 Active</t>
        </is>
      </c>
      <c r="C17" s="10" t="inlineStr">
        <is>
          <t>all</t>
        </is>
      </c>
      <c r="D17" s="11" t="inlineStr">
        <is>
          <t>HE8, HE9, HE1</t>
        </is>
      </c>
      <c r="E17" s="10" t="inlineStr">
        <is>
          <t>HE 10 saw the most shadow pricing but morning all around get best pricing. We see this congestion with low wind generation online, especially the west goin sub 3GW. Mostly completely correlated with west wind.</t>
        </is>
      </c>
      <c r="F17" s="11" t="inlineStr">
        <is>
          <t>Hamilton (40.4%) Fort Duncan (-26%)</t>
        </is>
      </c>
      <c r="G17" s="12" t="n">
        <v>0.4035</v>
      </c>
      <c r="H17" s="13" t="n">
        <v>201.75</v>
      </c>
      <c r="I17" s="13" t="n">
        <v>403.5</v>
      </c>
      <c r="J17" s="13" t="n">
        <v>807</v>
      </c>
      <c r="K17" s="10" t="inlineStr">
        <is>
          <t>Fort Duncan (-26.1%)
Catarina (-9.4%)
Russek (+5.0%)
Holcomb (-4.4%)</t>
        </is>
      </c>
      <c r="L17" s="10" t="n"/>
      <c r="M17" s="14" t="n"/>
    </row>
    <row r="18" ht="25.5" customHeight="1" s="111">
      <c r="A18" s="8" t="inlineStr">
        <is>
          <t>LNGSW-CONSW 345KV</t>
        </is>
      </c>
      <c r="B18" s="9" t="inlineStr">
        <is>
          <t>🟢 Active</t>
        </is>
      </c>
      <c r="C18" s="10" t="inlineStr">
        <is>
          <t>Summer</t>
        </is>
      </c>
      <c r="D18" s="11" t="inlineStr">
        <is>
          <t>HE1, HE2, HE24</t>
        </is>
      </c>
      <c r="E18" s="10" t="inlineStr">
        <is>
          <t>Pretty well associated with high west wind gen. Prob 10GW+. Never really get shadow pricing above $400 here but we still have 20%sf at west sites. Also couples well with West RT load being over 9GW overnight</t>
        </is>
      </c>
      <c r="F18" s="11" t="inlineStr">
        <is>
          <t>Judkins (21.3%)</t>
        </is>
      </c>
      <c r="G18" s="12" t="n">
        <v>0.213</v>
      </c>
      <c r="H18" s="13" t="n">
        <v>106.5</v>
      </c>
      <c r="I18" s="13" t="n">
        <v>213</v>
      </c>
      <c r="J18" s="13" t="n">
        <v>426</v>
      </c>
      <c r="K18" s="10" t="inlineStr">
        <is>
          <t>Saddleback (+20.0%)
Russek (+8.0%)</t>
        </is>
      </c>
      <c r="L18" s="10" t="n"/>
      <c r="M18" s="14" t="n"/>
    </row>
    <row r="19" ht="25.5" customHeight="1" s="111">
      <c r="A19" s="8" t="inlineStr">
        <is>
          <t>YELWJCKT-FORTMA 138KV</t>
        </is>
      </c>
      <c r="B19" s="9" t="inlineStr">
        <is>
          <t>🟢 Active</t>
        </is>
      </c>
      <c r="C19" s="10" t="inlineStr">
        <is>
          <t>mostly spring/summer</t>
        </is>
      </c>
      <c r="D19" s="11" t="inlineStr">
        <is>
          <t>HE7, HE6, HE5</t>
        </is>
      </c>
      <c r="E19" s="10" t="inlineStr">
        <is>
          <t>Very high west winds. See it the most at 13GW+ of west wind gen in offpeak hours and 10+GW of west wind gen in on-peak hours</t>
        </is>
      </c>
      <c r="F19" s="11" t="inlineStr">
        <is>
          <t>Junction (-50%)</t>
        </is>
      </c>
      <c r="G19" s="11" t="n"/>
      <c r="H19" s="11" t="n"/>
      <c r="I19" s="11" t="n"/>
      <c r="J19" s="11" t="n"/>
      <c r="K19" s="10" t="inlineStr">
        <is>
          <t>Junction (-50.0%)</t>
        </is>
      </c>
      <c r="L19" s="10" t="n"/>
      <c r="M19" s="14" t="inlineStr">
        <is>
          <t>Driven by West wind with demand in the east.</t>
        </is>
      </c>
    </row>
    <row r="20" ht="75" customHeight="1" s="111">
      <c r="A20" s="8" t="inlineStr">
        <is>
          <t>Legend:</t>
        </is>
      </c>
      <c r="B20" s="9" t="inlineStr">
        <is>
          <t>🟢 Active = detailed MCC analysis completed</t>
        </is>
      </c>
      <c r="C20" s="10" t="n"/>
      <c r="D20" s="11" t="n"/>
      <c r="E20" s="10" t="n"/>
      <c r="F20" s="11" t="inlineStr">
        <is>
          <t>—</t>
        </is>
      </c>
      <c r="G20" s="11" t="n"/>
      <c r="H20" s="11" t="n"/>
      <c r="I20" s="11" t="n"/>
      <c r="J20" s="11" t="n"/>
      <c r="K20" s="10" t="inlineStr">
        <is>
          <t>—</t>
        </is>
      </c>
      <c r="L20" s="10" t="n"/>
      <c r="M20" s="14" t="n"/>
    </row>
    <row r="21">
      <c r="A21" s="114" t="inlineStr">
        <is>
          <t>🟡  WATCH — Lines to Monitor (Limited Data)</t>
        </is>
      </c>
    </row>
    <row r="22" ht="38.25" customHeight="1" s="111">
      <c r="A22" s="17" t="inlineStr">
        <is>
          <t>CATARINA-ASHERTON 138KV</t>
        </is>
      </c>
      <c r="B22" s="18" t="inlineStr">
        <is>
          <t>🟡 Watch</t>
        </is>
      </c>
      <c r="C22" s="19" t="inlineStr">
        <is>
          <t>Spring</t>
        </is>
      </c>
      <c r="D22" s="20" t="inlineStr">
        <is>
          <t>HE20-22</t>
        </is>
      </c>
      <c r="E22" s="19" t="inlineStr">
        <is>
          <t>Have not seen much shadow pricing from here in the past year. We get this congestion with 2.5GW of coastal wind and 2.1GW+ of south wind gen</t>
        </is>
      </c>
      <c r="F22" s="20" t="inlineStr">
        <is>
          <t>Hamilton (7.2%)</t>
        </is>
      </c>
      <c r="G22" s="21" t="n">
        <v>0.0722</v>
      </c>
      <c r="H22" s="25" t="n">
        <v>36.1</v>
      </c>
      <c r="I22" s="24" t="n">
        <v>72.2</v>
      </c>
      <c r="J22" s="22" t="n">
        <v>144.4</v>
      </c>
      <c r="K22" s="19" t="inlineStr">
        <is>
          <t>Catarina (-73.2%)
Holcomb (-9.0%)
Val Verde (-5.1%)</t>
        </is>
      </c>
      <c r="L22" s="19" t="n"/>
      <c r="M22" s="23" t="n"/>
    </row>
    <row r="23" ht="58.5" customHeight="1" s="111">
      <c r="A23" s="17" t="inlineStr">
        <is>
          <t>ASHERTON-CATARINA 138KV</t>
        </is>
      </c>
      <c r="B23" s="18" t="inlineStr">
        <is>
          <t>🟡 Watch</t>
        </is>
      </c>
      <c r="C23" s="19" t="inlineStr">
        <is>
          <t>Summer</t>
        </is>
      </c>
      <c r="D23" s="20" t="inlineStr">
        <is>
          <t>HE10-14</t>
        </is>
      </c>
      <c r="E23" s="19" t="inlineStr">
        <is>
          <t>Difficult to tell during the day weather you are going to get ASHERTON-CATARINA or PILONCIL-NLARS. Both tend to pop up around HE10-11 and both are caused by low south wind (sub 500MW), but ASHERTON-CATARINA will pop up with low west wind ontop of the south wind. Typically just a low wind pattern across the system. High coastal wind during the day too may cause the line to bind harder.</t>
        </is>
      </c>
      <c r="F23" s="20" t="inlineStr">
        <is>
          <t>Catarina (77.0%)</t>
        </is>
      </c>
      <c r="G23" s="21" t="n">
        <v>0.7698199999999999</v>
      </c>
      <c r="H23" s="22" t="n">
        <v>384.91</v>
      </c>
      <c r="I23" s="22" t="n">
        <v>769.8200000000001</v>
      </c>
      <c r="J23" s="22" t="n">
        <v>1539.64</v>
      </c>
      <c r="K23" s="19" t="inlineStr">
        <is>
          <t>Holcomb (+17.2%)
Fort Duncan (-11.6%)
Hamilton (-9.0%)</t>
        </is>
      </c>
      <c r="L23" s="19" t="inlineStr">
        <is>
          <t>If west wind is dying in the down ramp, you may continue to see this congestion with low coastal winds</t>
        </is>
      </c>
      <c r="M23" s="23" t="inlineStr">
        <is>
          <t>If this shows up during the down ramp, it's typically caused by a dying west wind.</t>
        </is>
      </c>
    </row>
    <row r="24" ht="39" customHeight="1" s="111">
      <c r="A24" s="17" t="inlineStr">
        <is>
          <t>MRVLY-ESTLD 69KV</t>
        </is>
      </c>
      <c r="B24" s="18" t="inlineStr">
        <is>
          <t>🟡 Watch</t>
        </is>
      </c>
      <c r="C24" s="19" t="inlineStr">
        <is>
          <t>Not seasonal</t>
        </is>
      </c>
      <c r="D24" s="20" t="inlineStr">
        <is>
          <t>HE20, HE19, HE21</t>
        </is>
      </c>
      <c r="E24" s="19" t="inlineStr">
        <is>
          <t>seems to be when we see north load reach above 15GW. Especially if it's the load leader by a big chunk on the grid.</t>
        </is>
      </c>
      <c r="F24" s="20" t="inlineStr">
        <is>
          <t>Cisco (17.3%)</t>
        </is>
      </c>
      <c r="G24" s="21" t="n">
        <v>0.17348</v>
      </c>
      <c r="H24" s="24" t="n">
        <v>86.73999999999999</v>
      </c>
      <c r="I24" s="22" t="n">
        <v>173.48</v>
      </c>
      <c r="J24" s="22" t="n">
        <v>346.96</v>
      </c>
      <c r="K24" s="19" t="inlineStr">
        <is>
          <t>—</t>
        </is>
      </c>
      <c r="L24" s="19" t="n"/>
      <c r="M24" s="23" t="n"/>
    </row>
    <row r="25" ht="38.25" customHeight="1" s="111">
      <c r="A25" s="17" t="inlineStr">
        <is>
          <t>LPLMK-LPLNE 115KV</t>
        </is>
      </c>
      <c r="B25" s="18" t="inlineStr">
        <is>
          <t>🟡 Watch</t>
        </is>
      </c>
      <c r="C25" s="19" t="inlineStr">
        <is>
          <t>all</t>
        </is>
      </c>
      <c r="D25" s="20" t="inlineStr">
        <is>
          <t>HE21, HE22, HE20</t>
        </is>
      </c>
      <c r="E25" s="19" t="inlineStr">
        <is>
          <t>Don't have very strong shift factors out here in the west but active pretty often when west wind levels go below 5GW but it's actually strong panhandle winds that is the cause.</t>
        </is>
      </c>
      <c r="F25" s="20" t="inlineStr">
        <is>
          <t>Judkins (1.6%)</t>
        </is>
      </c>
      <c r="G25" s="21" t="n">
        <v>0.01594</v>
      </c>
      <c r="H25" s="25" t="n">
        <v>7.97</v>
      </c>
      <c r="I25" s="25" t="n">
        <v>15.94</v>
      </c>
      <c r="J25" s="25" t="n">
        <v>31.88</v>
      </c>
      <c r="K25" s="19" t="inlineStr">
        <is>
          <t>—</t>
        </is>
      </c>
      <c r="L25" s="19" t="n"/>
      <c r="M25" s="23" t="inlineStr">
        <is>
          <t>Strong wind generation from panhandle during day time</t>
        </is>
      </c>
    </row>
    <row r="26" ht="51" customHeight="1" s="111">
      <c r="A26" s="17" t="inlineStr">
        <is>
          <t>HONDOCK-DEVINESW 69KV</t>
        </is>
      </c>
      <c r="B26" s="18" t="inlineStr">
        <is>
          <t>🟡 Watch</t>
        </is>
      </c>
      <c r="C26" s="19" t="inlineStr">
        <is>
          <t>Post RTC</t>
        </is>
      </c>
      <c r="D26" s="20" t="inlineStr">
        <is>
          <t>HE16, HE18, HE17</t>
        </is>
      </c>
      <c r="E26" s="19" t="inlineStr">
        <is>
          <t>Newer constraint that showed up in January. Was strongest in march and april. Skip this one too weak of shift factor. The drivers are strong west wind/solar and strong load in San Antonio.</t>
        </is>
      </c>
      <c r="F26" s="20" t="inlineStr">
        <is>
          <t>—</t>
        </is>
      </c>
      <c r="G26" s="20" t="n"/>
      <c r="H26" s="20" t="n"/>
      <c r="I26" s="20" t="n"/>
      <c r="J26" s="20" t="n"/>
      <c r="K26" s="19" t="inlineStr">
        <is>
          <t>Fort Duncan (-6.4%)
Hamilton (-6.0%)
Catarina (-5.0%)</t>
        </is>
      </c>
      <c r="L26" s="19" t="n"/>
      <c r="M26" s="23" t="n"/>
    </row>
    <row r="27" ht="38.25" customHeight="1" s="111">
      <c r="A27" s="17" t="inlineStr">
        <is>
          <t>I_FW_N</t>
        </is>
      </c>
      <c r="B27" s="18" t="inlineStr">
        <is>
          <t>🟡 Watch</t>
        </is>
      </c>
      <c r="C27" s="19" t="inlineStr">
        <is>
          <t>fall</t>
        </is>
      </c>
      <c r="D27" s="20" t="inlineStr">
        <is>
          <t>HE5, HE6, HE4</t>
        </is>
      </c>
      <c r="E27" s="19" t="inlineStr">
        <is>
          <t>Never really see enough shadow pricing to create strong MCC's here. I also don't see one single issue</t>
        </is>
      </c>
      <c r="F27" s="20" t="inlineStr">
        <is>
          <t>Judkins (15.7%)</t>
        </is>
      </c>
      <c r="G27" s="21" t="n">
        <v>0.1566</v>
      </c>
      <c r="H27" s="24" t="n">
        <v>78.3</v>
      </c>
      <c r="I27" s="22" t="n">
        <v>156.6</v>
      </c>
      <c r="J27" s="22" t="n">
        <v>313.2</v>
      </c>
      <c r="K27" s="19" t="inlineStr">
        <is>
          <t>Saddleback (+13.7%)
Russek (+9.0%)
Olney (-6.0%)
Diboll (-4.0%)</t>
        </is>
      </c>
      <c r="L27" s="19" t="n"/>
      <c r="M27" s="23" t="n"/>
    </row>
    <row r="28" ht="51" customHeight="1" s="111">
      <c r="A28" s="17" t="inlineStr">
        <is>
          <t>CARVER-TINSLEY 138KV</t>
        </is>
      </c>
      <c r="B28" s="18" t="inlineStr">
        <is>
          <t>🟡 Watch</t>
        </is>
      </c>
      <c r="C28" s="19" t="inlineStr">
        <is>
          <t>all</t>
        </is>
      </c>
      <c r="D28" s="20" t="inlineStr">
        <is>
          <t>HE21, HE20, HE22</t>
        </is>
      </c>
      <c r="E28" s="19" t="inlineStr">
        <is>
          <t>Most shadow pricing seen in HE11 and 12. See this with West wind at 10GW+ coupled with sub 2GW coastal winds</t>
        </is>
      </c>
      <c r="F28" s="20" t="inlineStr">
        <is>
          <t>Hamilton (32.3%)</t>
        </is>
      </c>
      <c r="G28" s="21" t="n">
        <v>0.32323</v>
      </c>
      <c r="H28" s="22" t="n">
        <v>161.615</v>
      </c>
      <c r="I28" s="22" t="n">
        <v>323.23</v>
      </c>
      <c r="J28" s="22" t="n">
        <v>646.46</v>
      </c>
      <c r="K28" s="19" t="inlineStr">
        <is>
          <t>Fort Duncan (+21.0%)
Catarina (+9.0%)
Russek (-7.0%)</t>
        </is>
      </c>
      <c r="L28" s="19" t="n"/>
      <c r="M28" s="23" t="n"/>
    </row>
    <row r="29" ht="25.5" customHeight="1" s="111">
      <c r="A29" s="17" t="inlineStr">
        <is>
          <t>BIG_FOOT-PLEASANT 138KV</t>
        </is>
      </c>
      <c r="B29" s="18" t="inlineStr">
        <is>
          <t>🟡 Watch</t>
        </is>
      </c>
      <c r="C29" s="19" t="inlineStr">
        <is>
          <t>summer</t>
        </is>
      </c>
      <c r="D29" s="20" t="inlineStr">
        <is>
          <t>HE16, HE13, HE15</t>
        </is>
      </c>
      <c r="E29" s="19" t="inlineStr">
        <is>
          <t>Not that much action since RTC switchover. Too small of shift factors here…</t>
        </is>
      </c>
      <c r="F29" s="20" t="inlineStr">
        <is>
          <t>—</t>
        </is>
      </c>
      <c r="G29" s="20" t="n"/>
      <c r="H29" s="20" t="n"/>
      <c r="I29" s="20" t="n"/>
      <c r="J29" s="20" t="n"/>
      <c r="K29" s="19" t="inlineStr">
        <is>
          <t>Fort Duncan (-9.8%)
Catarina (-9.2%)
Hamilton (-8.8%)
Holcomb (-5.3%)</t>
        </is>
      </c>
      <c r="L29" s="19" t="n"/>
      <c r="M29" s="23" t="n"/>
    </row>
    <row r="30" ht="51" customHeight="1" s="111">
      <c r="A30" s="17" t="inlineStr">
        <is>
          <t>MASN-KATEMCY 69KV</t>
        </is>
      </c>
      <c r="B30" s="18" t="inlineStr">
        <is>
          <t>🟡 Watch</t>
        </is>
      </c>
      <c r="C30" s="19" t="inlineStr">
        <is>
          <t>winter</t>
        </is>
      </c>
      <c r="D30" s="20" t="inlineStr">
        <is>
          <t>HE19, HE18, HE23</t>
        </is>
      </c>
      <c r="E30" s="19" t="inlineStr">
        <is>
          <t>Affiliated with low west wind and low north wind gen</t>
        </is>
      </c>
      <c r="F30" s="20" t="inlineStr">
        <is>
          <t>Junction (25.1%)</t>
        </is>
      </c>
      <c r="G30" s="21" t="n">
        <v>0.251</v>
      </c>
      <c r="H30" s="22" t="n">
        <v>125.5</v>
      </c>
      <c r="I30" s="22" t="n">
        <v>251</v>
      </c>
      <c r="J30" s="22" t="n">
        <v>502</v>
      </c>
      <c r="K30" s="19" t="inlineStr">
        <is>
          <t>—</t>
        </is>
      </c>
      <c r="L30" s="19" t="n"/>
      <c r="M30" s="23" t="n"/>
    </row>
    <row r="31" ht="51" customHeight="1" s="111">
      <c r="A31" s="17" t="inlineStr">
        <is>
          <t>KLNSW-HHSTH 138KV</t>
        </is>
      </c>
      <c r="B31" s="18" t="inlineStr">
        <is>
          <t>🟡 Watch</t>
        </is>
      </c>
      <c r="C31" s="19" t="inlineStr">
        <is>
          <t>Spring</t>
        </is>
      </c>
      <c r="D31" s="20" t="inlineStr">
        <is>
          <t>HE22, HE23, HE2</t>
        </is>
      </c>
      <c r="E31" s="19" t="inlineStr">
        <is>
          <t>Newer congestion mostly seen in the spring. Esp march and april. Seen all hours but mostly during overnight period. We typically see this congestion when ERCOT wind gen reaches around 24GW+</t>
        </is>
      </c>
      <c r="F31" s="20" t="inlineStr">
        <is>
          <t>—</t>
        </is>
      </c>
      <c r="G31" s="20" t="n"/>
      <c r="H31" s="20" t="n"/>
      <c r="I31" s="20" t="n"/>
      <c r="J31" s="20" t="n"/>
      <c r="K31" s="19" t="inlineStr">
        <is>
          <t>Russek (-5.0%)
Judkins (-4.8%)
Saddleback (-4.8%)
Cisco (-4.0%)</t>
        </is>
      </c>
      <c r="L31" s="19" t="n"/>
      <c r="M31" s="23" t="n"/>
    </row>
    <row r="32" ht="25.5" customHeight="1" s="111">
      <c r="A32" s="17" t="inlineStr">
        <is>
          <t>SAMSW-VENSW 345KV</t>
        </is>
      </c>
      <c r="B32" s="18" t="inlineStr">
        <is>
          <t>🟡 Watch</t>
        </is>
      </c>
      <c r="C32" s="19" t="inlineStr">
        <is>
          <t>Strongest during winter</t>
        </is>
      </c>
      <c r="D32" s="20" t="inlineStr">
        <is>
          <t>HE11, HE12, HE13</t>
        </is>
      </c>
      <c r="E32" s="19" t="inlineStr">
        <is>
          <t>This was strongest in December and Jan, seen in May too. Think its around all seasons. Really no idea what the cause is, look into more,</t>
        </is>
      </c>
      <c r="F32" s="20" t="inlineStr">
        <is>
          <t>Diboll (5.3%)</t>
        </is>
      </c>
      <c r="G32" s="21" t="n">
        <v>0.053</v>
      </c>
      <c r="H32" s="25" t="n">
        <v>26.5</v>
      </c>
      <c r="I32" s="24" t="n">
        <v>53</v>
      </c>
      <c r="J32" s="22" t="n">
        <v>106</v>
      </c>
      <c r="K32" s="19" t="inlineStr">
        <is>
          <t>Holcomb (-5.6%)
Val Verde (-5.6%)
Catarina (-5.3%)
Olney (+5.0%)</t>
        </is>
      </c>
      <c r="L32" s="19" t="n"/>
      <c r="M32" s="23" t="n"/>
    </row>
    <row r="33" ht="51" customHeight="1" s="111">
      <c r="A33" s="17" t="inlineStr">
        <is>
          <t>MADDUX-TREADWEL 138KV</t>
        </is>
      </c>
      <c r="B33" s="18" t="inlineStr">
        <is>
          <t>🟡 Watch</t>
        </is>
      </c>
      <c r="C33" s="19" t="inlineStr">
        <is>
          <t>Summer and fall</t>
        </is>
      </c>
      <c r="D33" s="20" t="inlineStr">
        <is>
          <t>HE17, HE18, HE16</t>
        </is>
      </c>
      <c r="E33" s="19" t="inlineStr">
        <is>
          <t>Haven't seen much post RTC+B should be interesting to look out for. Can't find much of a driver here.</t>
        </is>
      </c>
      <c r="F33" s="20" t="inlineStr">
        <is>
          <t>Junction (39.3%)</t>
        </is>
      </c>
      <c r="G33" s="21" t="n">
        <v>0.39252</v>
      </c>
      <c r="H33" s="22" t="n">
        <v>196.26</v>
      </c>
      <c r="I33" s="22" t="n">
        <v>392.52</v>
      </c>
      <c r="J33" s="22" t="n">
        <v>785.04</v>
      </c>
      <c r="K33" s="19" t="inlineStr">
        <is>
          <t>—</t>
        </is>
      </c>
      <c r="L33" s="19" t="n"/>
      <c r="M33" s="23" t="inlineStr">
        <is>
          <t>Driven by West wind with demand in the east.</t>
        </is>
      </c>
    </row>
    <row r="34" ht="38.25" customHeight="1" s="111">
      <c r="A34" s="17" t="inlineStr">
        <is>
          <t>PRLSW-CONSW 345KV</t>
        </is>
      </c>
      <c r="B34" s="18" t="inlineStr">
        <is>
          <t>🟡 Watch</t>
        </is>
      </c>
      <c r="C34" s="19" t="inlineStr">
        <is>
          <t>Winter and Spring</t>
        </is>
      </c>
      <c r="D34" s="20" t="inlineStr">
        <is>
          <t>HE2, HE4, HE1</t>
        </is>
      </c>
      <c r="E34" s="19" t="inlineStr">
        <is>
          <t>Believe we see this congestion with more mild temps, lower loads, and over 8GW+ of west wind generation</t>
        </is>
      </c>
      <c r="F34" s="20" t="inlineStr">
        <is>
          <t>Judkins (29.0%)</t>
        </is>
      </c>
      <c r="G34" s="21" t="n">
        <v>0.29043</v>
      </c>
      <c r="H34" s="22" t="n">
        <v>145.215</v>
      </c>
      <c r="I34" s="22" t="n">
        <v>290.43</v>
      </c>
      <c r="J34" s="22" t="n">
        <v>580.86</v>
      </c>
      <c r="K34" s="19" t="inlineStr">
        <is>
          <t>Saddleback (+23.4%)
Russek (+11.1%)
Cisco (-5.2%)
Olney (-5.0%)</t>
        </is>
      </c>
      <c r="L34" s="19" t="n"/>
      <c r="M34" s="23" t="n"/>
    </row>
    <row r="35" ht="25.5" customHeight="1" s="111">
      <c r="A35" s="17" t="inlineStr">
        <is>
          <t>MAXWELL-HAMILTON 138KV</t>
        </is>
      </c>
      <c r="B35" s="18" t="inlineStr">
        <is>
          <t>🟡 Watch</t>
        </is>
      </c>
      <c r="C35" s="19" t="inlineStr">
        <is>
          <t>Summer and fall</t>
        </is>
      </c>
      <c r="D35" s="20" t="inlineStr">
        <is>
          <t>HE2, HE24, HE1</t>
        </is>
      </c>
      <c r="E35" s="19" t="inlineStr">
        <is>
          <t>Will be interesting to see if this still plays in Post RTC + B. Associated with 13+GW of west wind generation.</t>
        </is>
      </c>
      <c r="F35" s="20" t="inlineStr">
        <is>
          <t>Hamilton (23.0%)</t>
        </is>
      </c>
      <c r="G35" s="21" t="n">
        <v>0.22977</v>
      </c>
      <c r="H35" s="22" t="n">
        <v>114.885</v>
      </c>
      <c r="I35" s="22" t="n">
        <v>229.77</v>
      </c>
      <c r="J35" s="22" t="n">
        <v>459.54</v>
      </c>
      <c r="K35" s="19" t="inlineStr">
        <is>
          <t>Fort Duncan (+14.3%)
Russek (-5.0%)
Catarina (+5.0%)</t>
        </is>
      </c>
      <c r="L35" s="19" t="n"/>
      <c r="M35" s="23" t="n"/>
    </row>
    <row r="36" ht="38.25" customHeight="1" s="111">
      <c r="A36" s="17" t="inlineStr">
        <is>
          <t>LNGSW-CONSW 345KV</t>
        </is>
      </c>
      <c r="B36" s="18" t="inlineStr">
        <is>
          <t>🟡 Watch</t>
        </is>
      </c>
      <c r="C36" s="19" t="inlineStr">
        <is>
          <t>Summer</t>
        </is>
      </c>
      <c r="D36" s="20" t="inlineStr">
        <is>
          <t>HE1, HE2, HE24</t>
        </is>
      </c>
      <c r="E36" s="19" t="inlineStr">
        <is>
          <t>Haven't seen this one since october 2025. May just be summer congestion. Associated with 10GW+ of west wind gen</t>
        </is>
      </c>
      <c r="F36" s="20" t="inlineStr">
        <is>
          <t>Judkins (21.5%)</t>
        </is>
      </c>
      <c r="G36" s="21" t="n">
        <v>0.213</v>
      </c>
      <c r="H36" s="22" t="n">
        <v>106.5</v>
      </c>
      <c r="I36" s="22" t="n">
        <v>213</v>
      </c>
      <c r="J36" s="22" t="n">
        <v>426</v>
      </c>
      <c r="K36" s="19" t="inlineStr">
        <is>
          <t>Saddleback (+20.0%)
Russek (+8.0%)</t>
        </is>
      </c>
      <c r="L36" s="19" t="n"/>
      <c r="M36" s="23" t="n"/>
    </row>
    <row r="37" ht="51" customHeight="1" s="111">
      <c r="A37" s="17" t="inlineStr">
        <is>
          <t>SONR-ATSO 69KV</t>
        </is>
      </c>
      <c r="B37" s="18" t="inlineStr">
        <is>
          <t>🟡 Watch</t>
        </is>
      </c>
      <c r="C37" s="19" t="inlineStr">
        <is>
          <t>all</t>
        </is>
      </c>
      <c r="D37" s="20" t="inlineStr">
        <is>
          <t>HE1, HE3, HE2</t>
        </is>
      </c>
      <c r="E37" s="19" t="inlineStr">
        <is>
          <t>Don't really know what the driver is here. It could be west load surpassing 9GW+ overnight but not sure how common that is. The west wind levels are not very reliable but could be attributed with Low west winds OR high west winds</t>
        </is>
      </c>
      <c r="F37" s="20" t="inlineStr">
        <is>
          <t>Russek (5.0%)</t>
        </is>
      </c>
      <c r="G37" s="21" t="n">
        <v>0.05</v>
      </c>
      <c r="H37" s="25" t="n">
        <v>25</v>
      </c>
      <c r="I37" s="24" t="n">
        <v>50</v>
      </c>
      <c r="J37" s="22" t="n">
        <v>100</v>
      </c>
      <c r="K37" s="19" t="inlineStr">
        <is>
          <t>—</t>
        </is>
      </c>
      <c r="L37" s="19" t="n"/>
      <c r="M37" s="23" t="n"/>
    </row>
    <row r="38" ht="25.5" customHeight="1" s="111">
      <c r="A38" s="17" t="inlineStr">
        <is>
          <t>LAKENASW-SAMATHIS 69KV</t>
        </is>
      </c>
      <c r="B38" s="18" t="inlineStr">
        <is>
          <t>🟡 Watch</t>
        </is>
      </c>
      <c r="C38" s="19" t="inlineStr">
        <is>
          <t>Spring</t>
        </is>
      </c>
      <c r="D38" s="20" t="inlineStr">
        <is>
          <t>HE1, HE4, HE24</t>
        </is>
      </c>
      <c r="E38" s="19" t="inlineStr">
        <is>
          <t>See this with low West wind Generation. Seen with sub 6GW of wind generation but gets most active in sub 3GW of west wind generation. Low wind in the Far West is requisite for this to bind.</t>
        </is>
      </c>
      <c r="F38" s="20" t="inlineStr">
        <is>
          <t>Russek (7.3%)</t>
        </is>
      </c>
      <c r="G38" s="21" t="n">
        <v>0.07252</v>
      </c>
      <c r="H38" s="25" t="n">
        <v>36.26</v>
      </c>
      <c r="I38" s="24" t="n">
        <v>72.52</v>
      </c>
      <c r="J38" s="22" t="n">
        <v>145.04</v>
      </c>
      <c r="K38" s="19" t="inlineStr">
        <is>
          <t>—</t>
        </is>
      </c>
      <c r="L38" s="19" t="n"/>
      <c r="M38" s="23" t="inlineStr">
        <is>
          <t>Localized wind and solar production creates tight gradients that have been making this common in lower wind conditions</t>
        </is>
      </c>
    </row>
    <row r="39" ht="25.5" customHeight="1" s="111">
      <c r="A39" s="17" t="inlineStr">
        <is>
          <t>BRUNI 138KV</t>
        </is>
      </c>
      <c r="B39" s="18" t="inlineStr">
        <is>
          <t>🟡 Watch</t>
        </is>
      </c>
      <c r="C39" s="19" t="inlineStr">
        <is>
          <t>All, stronger in winter</t>
        </is>
      </c>
      <c r="D39" s="20" t="inlineStr">
        <is>
          <t>HE23, HE22, HE21</t>
        </is>
      </c>
      <c r="E39" s="19" t="inlineStr">
        <is>
          <t>Our shift factors are only like 1% so can't really include this one. Maybe associated with 1.5GW+ of south wind gen</t>
        </is>
      </c>
      <c r="F39" s="20" t="inlineStr">
        <is>
          <t>Catarina (1.0%)</t>
        </is>
      </c>
      <c r="G39" s="21" t="n">
        <v>0.01044</v>
      </c>
      <c r="H39" s="25" t="n">
        <v>5.22</v>
      </c>
      <c r="I39" s="25" t="n">
        <v>10.44</v>
      </c>
      <c r="J39" s="25" t="n">
        <v>20.88</v>
      </c>
      <c r="K39" s="19" t="inlineStr">
        <is>
          <t>—</t>
        </is>
      </c>
      <c r="L39" s="19" t="n"/>
      <c r="M39" s="23" t="n"/>
    </row>
    <row r="40" ht="25.5" customHeight="1" s="111">
      <c r="A40" s="17" t="inlineStr">
        <is>
          <t>CRTRVLLE-HILGR 138KV</t>
        </is>
      </c>
      <c r="B40" s="18" t="inlineStr">
        <is>
          <t>🟡 Watch</t>
        </is>
      </c>
      <c r="C40" s="19" t="inlineStr">
        <is>
          <t>Fall and winter</t>
        </is>
      </c>
      <c r="D40" s="20" t="inlineStr">
        <is>
          <t>HE1, HE2, HE23</t>
        </is>
      </c>
      <c r="E40" s="19" t="inlineStr">
        <is>
          <t>Never rlly seen MCC's over $50 for our west sites so not much to report on here. Driver here is 10GW+ of west wind gen</t>
        </is>
      </c>
      <c r="F40" s="20" t="inlineStr">
        <is>
          <t>Judkins (4.0%)</t>
        </is>
      </c>
      <c r="G40" s="21" t="n">
        <v>0.04</v>
      </c>
      <c r="H40" s="25" t="n">
        <v>20</v>
      </c>
      <c r="I40" s="25" t="n">
        <v>40</v>
      </c>
      <c r="J40" s="24" t="n">
        <v>80</v>
      </c>
      <c r="K40" s="19" t="inlineStr">
        <is>
          <t>Saddleback (+4.0%)</t>
        </is>
      </c>
      <c r="L40" s="19" t="n"/>
      <c r="M40" s="23" t="n"/>
    </row>
    <row r="41" ht="38.25" customHeight="1" s="111">
      <c r="A41" s="17" t="inlineStr">
        <is>
          <t>ARGYL-LWSVH 138KV</t>
        </is>
      </c>
      <c r="B41" s="18" t="inlineStr">
        <is>
          <t>🟡 Watch</t>
        </is>
      </c>
      <c r="C41" s="19" t="inlineStr">
        <is>
          <t>Mostly winter</t>
        </is>
      </c>
      <c r="D41" s="20" t="inlineStr">
        <is>
          <t>HE1, HE2, HE24</t>
        </is>
      </c>
      <c r="E41" s="19" t="inlineStr">
        <is>
          <t>Mostly seen in all hour during the winter season. See it when wind patterns reach above 12GW. I would look into this one some more.</t>
        </is>
      </c>
      <c r="F41" s="20" t="inlineStr">
        <is>
          <t>Diboll (1.5%)</t>
        </is>
      </c>
      <c r="G41" s="21" t="n">
        <v>0.01469</v>
      </c>
      <c r="H41" s="25" t="n">
        <v>7.345</v>
      </c>
      <c r="I41" s="25" t="n">
        <v>14.69</v>
      </c>
      <c r="J41" s="25" t="n">
        <v>29.38</v>
      </c>
      <c r="K41" s="19" t="inlineStr">
        <is>
          <t>—</t>
        </is>
      </c>
      <c r="L41" s="19" t="n"/>
      <c r="M41" s="23" t="n"/>
    </row>
    <row r="42" ht="25.5" customHeight="1" s="111">
      <c r="A42" s="17" t="inlineStr">
        <is>
          <t>NORTMC-CROSSOVE 138KV</t>
        </is>
      </c>
      <c r="B42" s="18" t="inlineStr">
        <is>
          <t>🟡 Watch</t>
        </is>
      </c>
      <c r="C42" s="19" t="inlineStr">
        <is>
          <t>spring and summer</t>
        </is>
      </c>
      <c r="D42" s="20" t="inlineStr">
        <is>
          <t>HE19, HE17, HE16</t>
        </is>
      </c>
      <c r="E42" s="19" t="inlineStr">
        <is>
          <t xml:space="preserve">Above 9.5GW+ of west load. Mostly see it also when west temps reached above 91 degrees which is correlated with load patterns. </t>
        </is>
      </c>
      <c r="F42" s="20" t="inlineStr">
        <is>
          <t>Russek (34.2%)</t>
        </is>
      </c>
      <c r="G42" s="21" t="n">
        <v>0.34171</v>
      </c>
      <c r="H42" s="22" t="n">
        <v>170.855</v>
      </c>
      <c r="I42" s="22" t="n">
        <v>341.71</v>
      </c>
      <c r="J42" s="22" t="n">
        <v>683.42</v>
      </c>
      <c r="K42" s="19" t="inlineStr">
        <is>
          <t>Hamilton (+9.2%)
Fort Duncan (+5.7%)</t>
        </is>
      </c>
      <c r="L42" s="19" t="inlineStr">
        <is>
          <t xml:space="preserve">If this is the only binding line on Russek, discharge before solar falls offline. We'll take $100+ MCC here. </t>
        </is>
      </c>
      <c r="M42" s="23" t="inlineStr">
        <is>
          <t>High WTX demand (9.6GW is a good threshold) with low WTX wind gives highest shadow pricing</t>
        </is>
      </c>
    </row>
    <row r="43" ht="25.5" customHeight="1" s="111">
      <c r="A43" s="17" t="inlineStr">
        <is>
          <t>LA_PALMA-HAINE_DR 138KV</t>
        </is>
      </c>
      <c r="B43" s="18" t="inlineStr">
        <is>
          <t>🟡 Watch</t>
        </is>
      </c>
      <c r="C43" s="19" t="inlineStr">
        <is>
          <t>spring and summer</t>
        </is>
      </c>
      <c r="D43" s="20" t="inlineStr">
        <is>
          <t>HE17, HE16, HE18</t>
        </is>
      </c>
      <c r="E43" s="19" t="inlineStr">
        <is>
          <t>See this congestion with 2GW+ of south wind Gen and 2.5GW+ of coastal wind gen</t>
        </is>
      </c>
      <c r="F43" s="20" t="inlineStr">
        <is>
          <t>Val Verde (1.9%)</t>
        </is>
      </c>
      <c r="G43" s="21" t="n">
        <v>0.018556</v>
      </c>
      <c r="H43" s="25" t="n">
        <v>9.278</v>
      </c>
      <c r="I43" s="25" t="n">
        <v>18.556</v>
      </c>
      <c r="J43" s="25" t="n">
        <v>37.112</v>
      </c>
      <c r="K43" s="19" t="inlineStr">
        <is>
          <t>—</t>
        </is>
      </c>
      <c r="L43" s="19" t="n"/>
      <c r="M43" s="23" t="n"/>
    </row>
    <row r="44" ht="63.75" customHeight="1" s="111">
      <c r="A44" s="17" t="inlineStr">
        <is>
          <t>GN-PZ 138KV</t>
        </is>
      </c>
      <c r="B44" s="18" t="inlineStr">
        <is>
          <t>🟡 Watch</t>
        </is>
      </c>
      <c r="C44" s="19" t="inlineStr">
        <is>
          <t>Spring</t>
        </is>
      </c>
      <c r="D44" s="20" t="inlineStr">
        <is>
          <t>HE14-17</t>
        </is>
      </c>
      <c r="E44" s="19" t="inlineStr">
        <is>
          <t>High coastal wind generation, specifically around 2GW+</t>
        </is>
      </c>
      <c r="F44" s="20" t="inlineStr">
        <is>
          <t>Mainland (18.3%)</t>
        </is>
      </c>
      <c r="G44" s="21" t="n">
        <v>0.18322</v>
      </c>
      <c r="H44" s="24" t="n">
        <v>91.61</v>
      </c>
      <c r="I44" s="22" t="n">
        <v>183.22</v>
      </c>
      <c r="J44" s="22" t="n">
        <v>366.44</v>
      </c>
      <c r="K44" s="19" t="inlineStr">
        <is>
          <t>—</t>
        </is>
      </c>
      <c r="L44" s="19" t="inlineStr">
        <is>
          <t>A lot of this congestion is really driven by outages and load in Houston. Lines tend to go in and out of outage around here which makes it very difficult</t>
        </is>
      </c>
      <c r="M44" s="23" t="n"/>
    </row>
    <row r="45" ht="38.25" customHeight="1" s="111">
      <c r="A45" s="17" t="inlineStr">
        <is>
          <t>MV_BURNS-MV_HBRG4 138KV</t>
        </is>
      </c>
      <c r="B45" s="18" t="inlineStr">
        <is>
          <t>🟡 Watch</t>
        </is>
      </c>
      <c r="C45" s="19" t="inlineStr">
        <is>
          <t>April</t>
        </is>
      </c>
      <c r="D45" s="20" t="inlineStr">
        <is>
          <t>HE17, HE18, HE19</t>
        </is>
      </c>
      <c r="E45" s="19" t="inlineStr">
        <is>
          <t>Common to see when you get 3GW+ of coastal wind levels. Saw most shadow pricing in april of 2026. having 2+GW of south wind stacked also makes the line bind</t>
        </is>
      </c>
      <c r="F45" s="20" t="inlineStr">
        <is>
          <t>Val Verde (15.3%)</t>
        </is>
      </c>
      <c r="G45" s="21" t="n">
        <v>0.15343</v>
      </c>
      <c r="H45" s="24" t="n">
        <v>76.715</v>
      </c>
      <c r="I45" s="22" t="n">
        <v>153.43</v>
      </c>
      <c r="J45" s="22" t="n">
        <v>306.86</v>
      </c>
      <c r="K45" s="19" t="inlineStr">
        <is>
          <t>—</t>
        </is>
      </c>
      <c r="L45" s="19" t="n"/>
      <c r="M45" s="23" t="n"/>
    </row>
    <row r="46" ht="25.5" customHeight="1" s="111">
      <c r="A46" s="17" t="inlineStr">
        <is>
          <t>BR-HOC 138KV</t>
        </is>
      </c>
      <c r="B46" s="18" t="inlineStr">
        <is>
          <t>🟡 Watch</t>
        </is>
      </c>
      <c r="C46" s="19" t="inlineStr">
        <is>
          <t>spring (march)</t>
        </is>
      </c>
      <c r="D46" s="20" t="inlineStr">
        <is>
          <t>HE16, HE15, HE17</t>
        </is>
      </c>
      <c r="E46" s="19" t="inlineStr">
        <is>
          <t>Common to see with 2.7GW+ of coastal wind gen and 2.5GW of south wind gen. can see in all hours of the day but most common in HE10-18.</t>
        </is>
      </c>
      <c r="F46" s="20" t="inlineStr">
        <is>
          <t>Mainland (9.5%)</t>
        </is>
      </c>
      <c r="G46" s="21" t="n">
        <v>0.09515</v>
      </c>
      <c r="H46" s="25" t="n">
        <v>47.575</v>
      </c>
      <c r="I46" s="24" t="n">
        <v>95.15000000000001</v>
      </c>
      <c r="J46" s="22" t="n">
        <v>190.3</v>
      </c>
      <c r="K46" s="19" t="inlineStr">
        <is>
          <t>—</t>
        </is>
      </c>
      <c r="L46" s="19" t="n"/>
      <c r="M46" s="23" t="n"/>
    </row>
    <row r="47" ht="51" customHeight="1" s="111">
      <c r="A47" s="17" t="inlineStr">
        <is>
          <t>BOW 69KV</t>
        </is>
      </c>
      <c r="B47" s="18" t="inlineStr">
        <is>
          <t>🟡 Watch</t>
        </is>
      </c>
      <c r="C47" s="19" t="inlineStr">
        <is>
          <t>Mar-May 2026</t>
        </is>
      </c>
      <c r="D47" s="20" t="inlineStr">
        <is>
          <t>HE9, HE8, HE20</t>
        </is>
      </c>
      <c r="E47" s="19" t="inlineStr">
        <is>
          <t>Pretty new congestion here. Seen march, april and may of 26. We see this congestion with high system-wide winds. Around like 20GW+ of wind gen</t>
        </is>
      </c>
      <c r="F47" s="20" t="inlineStr">
        <is>
          <t>—</t>
        </is>
      </c>
      <c r="G47" s="20" t="n"/>
      <c r="H47" s="20" t="n"/>
      <c r="I47" s="20" t="n"/>
      <c r="J47" s="20" t="n"/>
      <c r="K47" s="19" t="inlineStr">
        <is>
          <t>Olney (-5.0%)</t>
        </is>
      </c>
      <c r="L47" s="19" t="n"/>
      <c r="M47" s="23" t="n"/>
    </row>
    <row r="48" ht="38.25" customHeight="1" s="111">
      <c r="A48" s="17" t="inlineStr">
        <is>
          <t>CMNSW-CMNTP 138KV</t>
        </is>
      </c>
      <c r="B48" s="18" t="inlineStr">
        <is>
          <t>🟡 Watch</t>
        </is>
      </c>
      <c r="C48" s="19" t="inlineStr">
        <is>
          <t>all</t>
        </is>
      </c>
      <c r="D48" s="20" t="inlineStr">
        <is>
          <t>HE17, HE19, HE18</t>
        </is>
      </c>
      <c r="E48" s="19" t="inlineStr">
        <is>
          <t>Get this congestion when coastal winds surpass 2.7GW+ of coastal gen. When system wide wind gen reaches to 20GW+ is where we get the best shadow pricing. Don't get much pricing from here though with low shift factors. Far West Solar is a significant source-side driver. When coupled with wind and high Dallas temps, this will continue to bind.</t>
        </is>
      </c>
      <c r="F48" s="20" t="inlineStr">
        <is>
          <t>Cisco (5.0%)</t>
        </is>
      </c>
      <c r="G48" s="21" t="n">
        <v>0.05</v>
      </c>
      <c r="H48" s="25" t="n">
        <v>25</v>
      </c>
      <c r="I48" s="24" t="n">
        <v>50</v>
      </c>
      <c r="J48" s="22" t="n">
        <v>100</v>
      </c>
      <c r="K48" s="19" t="inlineStr">
        <is>
          <t>—</t>
        </is>
      </c>
      <c r="L48" s="19" t="n"/>
      <c r="M48" s="23" t="n"/>
    </row>
    <row r="49" ht="25.5" customHeight="1" s="111">
      <c r="A49" s="17" t="inlineStr">
        <is>
          <t>UVALDE-READING 138KV</t>
        </is>
      </c>
      <c r="B49" s="18" t="inlineStr">
        <is>
          <t>🟡 Watch</t>
        </is>
      </c>
      <c r="C49" s="19" t="inlineStr">
        <is>
          <t>Summer</t>
        </is>
      </c>
      <c r="D49" s="20" t="inlineStr">
        <is>
          <t>HE19, HE18, HE17</t>
        </is>
      </c>
      <c r="E49" s="19" t="inlineStr">
        <is>
          <t>Haven't seen post RTC. No good positive shift factor but hamilton has strong negative. Can't find a specific driver but 19GW+ of south load could be a driver with low south wind</t>
        </is>
      </c>
      <c r="F49" s="20" t="inlineStr">
        <is>
          <t>—</t>
        </is>
      </c>
      <c r="G49" s="20" t="n"/>
      <c r="H49" s="20" t="n"/>
      <c r="I49" s="20" t="n"/>
      <c r="J49" s="20" t="n"/>
      <c r="K49" s="19" t="inlineStr">
        <is>
          <t>Hamilton (-20.5%)
Fort Duncan (-8.9%)
Catarina (-8.1%)</t>
        </is>
      </c>
      <c r="L49" s="19" t="n"/>
      <c r="M49" s="23" t="n"/>
    </row>
    <row r="50" ht="25.5" customHeight="1" s="111">
      <c r="A50" s="17" t="inlineStr">
        <is>
          <t>WOLFCAMP-SANTARIT 138KV</t>
        </is>
      </c>
      <c r="B50" s="18" t="inlineStr">
        <is>
          <t>🟡 Watch</t>
        </is>
      </c>
      <c r="C50" s="19" t="inlineStr">
        <is>
          <t>Outage/Event</t>
        </is>
      </c>
      <c r="D50" s="20" t="inlineStr">
        <is>
          <t>HE17, HE16, HE19</t>
        </is>
      </c>
      <c r="E50" s="19" t="inlineStr">
        <is>
          <t>No specific driver I can find here. Russek has a 32% shift factor here. High temps also tend to flair up this line. Only saw for 2 days in April</t>
        </is>
      </c>
      <c r="F50" s="20" t="inlineStr">
        <is>
          <t>Russek (31.7%)</t>
        </is>
      </c>
      <c r="G50" s="21" t="n">
        <v>0.31739</v>
      </c>
      <c r="H50" s="22" t="n">
        <v>158.695</v>
      </c>
      <c r="I50" s="22" t="n">
        <v>317.39</v>
      </c>
      <c r="J50" s="22" t="n">
        <v>634.78</v>
      </c>
      <c r="K50" s="19" t="inlineStr">
        <is>
          <t>—</t>
        </is>
      </c>
      <c r="L50" s="19" t="n"/>
      <c r="M50" s="23" t="n"/>
    </row>
    <row r="51" ht="25.5" customHeight="1" s="111">
      <c r="A51" s="17" t="inlineStr">
        <is>
          <t>LHSES-PRCSW 138KV</t>
        </is>
      </c>
      <c r="B51" s="18" t="inlineStr">
        <is>
          <t>🟡 Watch</t>
        </is>
      </c>
      <c r="C51" s="19" t="inlineStr">
        <is>
          <t>Fall of 2025</t>
        </is>
      </c>
      <c r="D51" s="20" t="inlineStr">
        <is>
          <t>HE20, HE19, HE17</t>
        </is>
      </c>
      <c r="E51" s="19" t="inlineStr">
        <is>
          <t>Skip this one. Only -5% shift factor here at North sites</t>
        </is>
      </c>
      <c r="F51" s="20" t="inlineStr">
        <is>
          <t>—</t>
        </is>
      </c>
      <c r="G51" s="20" t="n"/>
      <c r="H51" s="20" t="n"/>
      <c r="I51" s="20" t="n"/>
      <c r="J51" s="20" t="n"/>
      <c r="K51" s="19" t="inlineStr">
        <is>
          <t>Diboll (-5.0%)</t>
        </is>
      </c>
      <c r="L51" s="19" t="n"/>
      <c r="M51" s="23" t="n"/>
    </row>
    <row r="52" ht="38.25" customHeight="1" s="111">
      <c r="A52" s="17" t="inlineStr">
        <is>
          <t>LAREDO-DEL_MAR 138KV</t>
        </is>
      </c>
      <c r="B52" s="18" t="inlineStr">
        <is>
          <t>🟡 Watch</t>
        </is>
      </c>
      <c r="C52" s="19" t="inlineStr">
        <is>
          <t>Summer 2025</t>
        </is>
      </c>
      <c r="D52" s="20" t="inlineStr">
        <is>
          <t>HE23, HE24, HE22</t>
        </is>
      </c>
      <c r="E52" s="19" t="inlineStr">
        <is>
          <t>Will be interesting to see if we see this congestion this summer. Not very strong pricing here though. Skip</t>
        </is>
      </c>
      <c r="F52" s="20" t="inlineStr">
        <is>
          <t>Holcomb (6.0%)</t>
        </is>
      </c>
      <c r="G52" s="21" t="n">
        <v>0.06</v>
      </c>
      <c r="H52" s="25" t="n">
        <v>30</v>
      </c>
      <c r="I52" s="24" t="n">
        <v>60</v>
      </c>
      <c r="J52" s="22" t="n">
        <v>120</v>
      </c>
      <c r="K52" s="19" t="inlineStr">
        <is>
          <t>—</t>
        </is>
      </c>
      <c r="L52" s="19" t="n"/>
      <c r="M52" s="23" t="n"/>
    </row>
    <row r="53" ht="25.5" customHeight="1" s="111">
      <c r="A53" s="17" t="inlineStr">
        <is>
          <t>COLETO CREEK-VICTORIA</t>
        </is>
      </c>
      <c r="B53" s="18" t="inlineStr">
        <is>
          <t>🟡 Watch</t>
        </is>
      </c>
      <c r="C53" s="19" t="inlineStr">
        <is>
          <t>Spring 26</t>
        </is>
      </c>
      <c r="D53" s="20" t="inlineStr">
        <is>
          <t>HE20, HE22, HE21</t>
        </is>
      </c>
      <c r="E53" s="19" t="inlineStr">
        <is>
          <t>Strong hours are HE20-1 but seen across all hours. This seems to be all coastal wind generated. When we get over 2.4GW of coastal wind gen, theres a good change we'll see this. Strongest shadow pricing has come from coastal wind at 3GW+</t>
        </is>
      </c>
      <c r="F53" s="20" t="inlineStr">
        <is>
          <t>—</t>
        </is>
      </c>
      <c r="G53" s="20" t="n"/>
      <c r="H53" s="20" t="n"/>
      <c r="I53" s="20" t="n"/>
      <c r="J53" s="20" t="n"/>
      <c r="K53" s="19" t="inlineStr">
        <is>
          <t>Val Verde (-9.2%)</t>
        </is>
      </c>
      <c r="L53" s="19" t="n"/>
      <c r="M53" s="23" t="n"/>
    </row>
    <row r="54" ht="25.5" customHeight="1" s="111">
      <c r="A54" s="17" t="inlineStr">
        <is>
          <t>FMRVL-RYSSW 345KV</t>
        </is>
      </c>
      <c r="B54" s="18" t="inlineStr">
        <is>
          <t>🟡 Watch</t>
        </is>
      </c>
      <c r="C54" s="19" t="n"/>
      <c r="D54" s="20" t="inlineStr">
        <is>
          <t>HE17, HE16, HE15</t>
        </is>
      </c>
      <c r="E54" s="19" t="inlineStr">
        <is>
          <t>Dibol only has a 6% shift factor here but seen shadow pricing in the thousands. Only saw decent shadow pricing for one day. Delete</t>
        </is>
      </c>
      <c r="F54" s="20" t="inlineStr">
        <is>
          <t>Diboll (5.2%)</t>
        </is>
      </c>
      <c r="G54" s="21" t="n">
        <v>0.05227</v>
      </c>
      <c r="H54" s="25" t="n">
        <v>26.135</v>
      </c>
      <c r="I54" s="24" t="n">
        <v>52.27</v>
      </c>
      <c r="J54" s="22" t="n">
        <v>104.54</v>
      </c>
      <c r="K54" s="19" t="inlineStr">
        <is>
          <t>Olney (-3.4%)</t>
        </is>
      </c>
      <c r="L54" s="19" t="n"/>
      <c r="M54" s="23" t="n"/>
    </row>
    <row r="55" ht="51" customHeight="1" s="111">
      <c r="A55" s="109" t="inlineStr">
        <is>
          <t>⚫  LOW PRIORITY — Skip or Outage-Only</t>
        </is>
      </c>
    </row>
    <row r="56" ht="51" customHeight="1" s="111">
      <c r="A56" s="26" t="inlineStr">
        <is>
          <t>LOBO-LARDVNTH 138KV</t>
        </is>
      </c>
      <c r="B56" s="27" t="inlineStr">
        <is>
          <t>⚫ Low Priority</t>
        </is>
      </c>
      <c r="C56" s="28" t="inlineStr">
        <is>
          <t>Feb and March</t>
        </is>
      </c>
      <c r="D56" s="29" t="inlineStr">
        <is>
          <t>HE22, HE19, HE21</t>
        </is>
      </c>
      <c r="E56" s="28" t="inlineStr">
        <is>
          <t>Newer Congestion (First seen Feb 2026). Can be seen at all times throughout the day but mostly 17-3. Correlates with 2.5GW+ of south wind or 2.8GW+ of coastal wind. Maybe was also outage driven bc we haven't seen it since march.</t>
        </is>
      </c>
      <c r="F56" s="29" t="inlineStr">
        <is>
          <t>Holcomb (32.4%)</t>
        </is>
      </c>
      <c r="G56" s="30" t="n">
        <v>0.32386</v>
      </c>
      <c r="H56" s="31" t="n">
        <v>161.93</v>
      </c>
      <c r="I56" s="32" t="n">
        <v>323.86</v>
      </c>
      <c r="J56" s="33" t="n">
        <v>647.72</v>
      </c>
      <c r="K56" s="28" t="inlineStr">
        <is>
          <t>Catarina (+21.8%)
Hamilton (+7.0%)
Fort Duncan (+7.0%)
Val Verde (-7.0%)</t>
        </is>
      </c>
      <c r="L56" s="28" t="n"/>
      <c r="M56" s="34" t="n"/>
    </row>
    <row r="57" ht="63.75" customHeight="1" s="111">
      <c r="A57" s="26" t="inlineStr">
        <is>
          <t>BCESW-SNDSW 345KV</t>
        </is>
      </c>
      <c r="B57" s="27" t="inlineStr">
        <is>
          <t>⚫ Low Priority</t>
        </is>
      </c>
      <c r="C57" s="28" t="inlineStr">
        <is>
          <t>Fall and Spring</t>
        </is>
      </c>
      <c r="D57" s="29" t="inlineStr">
        <is>
          <t>HE17, HE18, HE16</t>
        </is>
      </c>
      <c r="E57" s="28" t="inlineStr">
        <is>
          <t>Not much activity here during summer and winter. Also see this one when south wind is sub 1GW. Consistent factor also seems to be days of strong south load (15GW+) during the solar window</t>
        </is>
      </c>
      <c r="F57" s="29" t="inlineStr">
        <is>
          <t>Holcomb (11.0%)</t>
        </is>
      </c>
      <c r="G57" s="30" t="n">
        <v>0.11</v>
      </c>
      <c r="H57" s="31" t="n">
        <v>55</v>
      </c>
      <c r="I57" s="32" t="n">
        <v>110</v>
      </c>
      <c r="J57" s="33" t="n">
        <v>220</v>
      </c>
      <c r="K57" s="28" t="inlineStr">
        <is>
          <t>Val Verde (+11.0%)
Catarina (+10.0%)
Fort Duncan (+9.0%)
Diboll (-7.4%)</t>
        </is>
      </c>
      <c r="L57" s="28" t="n"/>
      <c r="M57" s="34" t="n"/>
    </row>
    <row r="58" ht="63.75" customHeight="1" s="111">
      <c r="A58" s="26" t="inlineStr">
        <is>
          <t>LARDVNTH-LASCRUCE 138KV</t>
        </is>
      </c>
      <c r="B58" s="27" t="inlineStr">
        <is>
          <t>⚫ Low Priority</t>
        </is>
      </c>
      <c r="C58" s="28" t="inlineStr">
        <is>
          <t>Big summer cong</t>
        </is>
      </c>
      <c r="D58" s="29" t="inlineStr">
        <is>
          <t>HE20, HE21, HE22</t>
        </is>
      </c>
      <c r="E58" s="28" t="inlineStr">
        <is>
          <t xml:space="preserve">Historically this congestion was seen over the summer but don't have any real shadow pricing since september of 2025. The main driver of this congestion was elevated STX wind patterns overnight. </t>
        </is>
      </c>
      <c r="F58" s="29" t="inlineStr">
        <is>
          <t>Holcomb (29.7%)</t>
        </is>
      </c>
      <c r="G58" s="30" t="n">
        <v>0.29736</v>
      </c>
      <c r="H58" s="31" t="n">
        <v>148.68</v>
      </c>
      <c r="I58" s="32" t="n">
        <v>297.36</v>
      </c>
      <c r="J58" s="33" t="n">
        <v>594.72</v>
      </c>
      <c r="K58" s="28" t="inlineStr">
        <is>
          <t>Catarina (+17.9%)
Val Verde (-7.9%)
Hamilton (+6.2%)</t>
        </is>
      </c>
      <c r="L58" s="28" t="n"/>
      <c r="M58" s="34" t="inlineStr">
        <is>
          <t>the absence of binding intervals for this exact line in the past 90 days is consistent with a conductor upgrade that began construction in 2024 on this specific segment (congestion may be dead)</t>
        </is>
      </c>
    </row>
    <row r="59" ht="51" customHeight="1" s="111">
      <c r="A59" s="26" t="inlineStr">
        <is>
          <t>LASCRUCE-MILO 138KV</t>
        </is>
      </c>
      <c r="B59" s="27" t="inlineStr">
        <is>
          <t>⚫ Low Priority</t>
        </is>
      </c>
      <c r="C59" s="28" t="inlineStr">
        <is>
          <t>Winter</t>
        </is>
      </c>
      <c r="D59" s="29" t="inlineStr">
        <is>
          <t>HE20, HE19, HE21</t>
        </is>
      </c>
      <c r="E59" s="28" t="inlineStr">
        <is>
          <t>south AND coastal wind gen at 2GW+</t>
        </is>
      </c>
      <c r="F59" s="29" t="inlineStr">
        <is>
          <t>Holcomb (28.0%)</t>
        </is>
      </c>
      <c r="G59" s="30" t="n">
        <v>0.28025</v>
      </c>
      <c r="H59" s="31" t="n">
        <v>140.125</v>
      </c>
      <c r="I59" s="32" t="n">
        <v>280.25</v>
      </c>
      <c r="J59" s="33" t="n">
        <v>560.5</v>
      </c>
      <c r="K59" s="28" t="inlineStr">
        <is>
          <t>Catarina (+17.3%)
Fort Duncan (+9.6%)
Val Verde (-8.0%)
Hamilton (+7.0%)</t>
        </is>
      </c>
      <c r="L59" s="28" t="n"/>
      <c r="M59" s="34" t="inlineStr">
        <is>
          <t xml:space="preserve">AEP Texas's North Laredo Transmission Improvements Project factsheet explicitly lists the Milo – Las Cruces transmission line as one of the segments being rebuilt </t>
        </is>
      </c>
    </row>
    <row r="60" ht="38.25" customHeight="1" s="111">
      <c r="A60" s="26" t="inlineStr">
        <is>
          <t>STP-ELMCREEK 345KV</t>
        </is>
      </c>
      <c r="B60" s="27" t="inlineStr">
        <is>
          <t>⚫ Low Priority</t>
        </is>
      </c>
      <c r="C60" s="28" t="inlineStr">
        <is>
          <t>Nov, Dec, Jan</t>
        </is>
      </c>
      <c r="D60" s="29" t="inlineStr">
        <is>
          <t>HE22, HE21, HE23</t>
        </is>
      </c>
      <c r="E60" s="28" t="inlineStr">
        <is>
          <t>Mostly correlated with low renewable generation on the grid. See the congestion overnight with low (sub 8gw) of wind gen on the grid</t>
        </is>
      </c>
      <c r="F60" s="29" t="inlineStr">
        <is>
          <t>Catarina (8.0%)</t>
        </is>
      </c>
      <c r="G60" s="30" t="n">
        <v>0.08</v>
      </c>
      <c r="H60" s="31" t="n">
        <v>40</v>
      </c>
      <c r="I60" s="32" t="n">
        <v>80</v>
      </c>
      <c r="J60" s="33" t="n">
        <v>160</v>
      </c>
      <c r="K60" s="28" t="inlineStr">
        <is>
          <t>Mainland (-9.0%)
Holcomb (+7.9%)
Fort Duncan (+7.5%)
Hamilton (+6.7%)</t>
        </is>
      </c>
      <c r="L60" s="28" t="n"/>
      <c r="M60" s="34" t="n"/>
    </row>
    <row r="61" ht="30" customHeight="1" s="111">
      <c r="A61" s="26" t="inlineStr">
        <is>
          <t>VEALMOOR-KOCHTAP 138KV</t>
        </is>
      </c>
      <c r="B61" s="27" t="inlineStr">
        <is>
          <t>⚫ Low Priority</t>
        </is>
      </c>
      <c r="C61" s="28" t="inlineStr">
        <is>
          <t>All but gone now</t>
        </is>
      </c>
      <c r="D61" s="29" t="inlineStr">
        <is>
          <t>HE23, HE24, HE22</t>
        </is>
      </c>
      <c r="E61" s="28" t="inlineStr">
        <is>
          <t>Haven't seen at all in RTC. Look a pic on the right. This congestion was sooo prevelent before RTC, generating just below $300,000 (in $/mwh) in shadow pricing from May-Nov 2025 and now is completely gone</t>
        </is>
      </c>
      <c r="F61" s="29" t="inlineStr">
        <is>
          <t>Judkins (5.2%)</t>
        </is>
      </c>
      <c r="G61" s="30" t="n">
        <v>0.0524</v>
      </c>
      <c r="H61" s="31" t="n">
        <v>26.2</v>
      </c>
      <c r="I61" s="32" t="n">
        <v>52.4</v>
      </c>
      <c r="J61" s="33" t="n">
        <v>104.8</v>
      </c>
      <c r="K61" s="28" t="inlineStr">
        <is>
          <t>Saddleback (+4.5%)</t>
        </is>
      </c>
      <c r="L61" s="28" t="n"/>
      <c r="M61" s="34" t="n"/>
    </row>
    <row r="62" ht="30" customHeight="1" s="111">
      <c r="A62" s="26" t="inlineStr">
        <is>
          <t>SNDHT-WLFSW 138KV</t>
        </is>
      </c>
      <c r="B62" s="27" t="inlineStr">
        <is>
          <t>⚫ Low Priority</t>
        </is>
      </c>
      <c r="C62" s="28" t="inlineStr">
        <is>
          <t>Outage/Event</t>
        </is>
      </c>
      <c r="D62" s="29" t="inlineStr">
        <is>
          <t>HE4, HE2, HE1</t>
        </is>
      </c>
      <c r="E62" s="28" t="inlineStr">
        <is>
          <t>Nothing in RTC so far. Saw strong in July which could've made this congestion outage driven</t>
        </is>
      </c>
      <c r="F62" s="29" t="inlineStr">
        <is>
          <t>Saddleback (7.0%)</t>
        </is>
      </c>
      <c r="G62" s="30" t="n">
        <v>0.07000000000000001</v>
      </c>
      <c r="H62" s="31" t="n">
        <v>35</v>
      </c>
      <c r="I62" s="32" t="n">
        <v>70</v>
      </c>
      <c r="J62" s="33" t="n">
        <v>140</v>
      </c>
      <c r="K62" s="28" t="inlineStr">
        <is>
          <t>Judkins (-44.9%)</t>
        </is>
      </c>
      <c r="L62" s="28" t="n"/>
      <c r="M62" s="34" t="n"/>
    </row>
    <row r="63" ht="51" customHeight="1" s="111">
      <c r="A63" s="26" t="inlineStr">
        <is>
          <t>WCRYSTS-CARIZOS 69KV</t>
        </is>
      </c>
      <c r="B63" s="27" t="inlineStr">
        <is>
          <t>⚫ Low Priority</t>
        </is>
      </c>
      <c r="C63" s="28" t="inlineStr">
        <is>
          <t>x</t>
        </is>
      </c>
      <c r="D63" s="29" t="inlineStr">
        <is>
          <t>HE7, HE8, HE5</t>
        </is>
      </c>
      <c r="E63" s="28" t="inlineStr">
        <is>
          <t>This is just completely outage drive. Saw for 5 days in Feb. No other driver seen</t>
        </is>
      </c>
      <c r="F63" s="29" t="inlineStr">
        <is>
          <t>Fort Duncan (19.0%)</t>
        </is>
      </c>
      <c r="G63" s="30" t="n">
        <v>0.19</v>
      </c>
      <c r="H63" s="32" t="n">
        <v>95</v>
      </c>
      <c r="I63" s="33" t="n">
        <v>190</v>
      </c>
      <c r="J63" s="33" t="n">
        <v>380</v>
      </c>
      <c r="K63" s="28" t="inlineStr">
        <is>
          <t>Hamilton (+12.6%)
Catarina (-5.0%)</t>
        </is>
      </c>
      <c r="L63" s="28" t="n"/>
      <c r="M63" s="34" t="n"/>
    </row>
    <row r="64" ht="30" customHeight="1" s="111">
      <c r="A64" s="26" t="inlineStr">
        <is>
          <t>JEWET-BBSES 345KV</t>
        </is>
      </c>
      <c r="B64" s="27" t="inlineStr">
        <is>
          <t>⚫ Low Priority</t>
        </is>
      </c>
      <c r="C64" s="28" t="inlineStr">
        <is>
          <t>x</t>
        </is>
      </c>
      <c r="D64" s="29" t="inlineStr">
        <is>
          <t>HE21, HE20, HE8</t>
        </is>
      </c>
      <c r="E64" s="28" t="inlineStr">
        <is>
          <t>Also outage driven. Saw for 8 days in Feb at random times. Strong in HE 9 though</t>
        </is>
      </c>
      <c r="F64" s="29" t="inlineStr">
        <is>
          <t>Diboll (12.9%)</t>
        </is>
      </c>
      <c r="G64" s="30" t="n">
        <v>0.12874</v>
      </c>
      <c r="H64" s="32" t="n">
        <v>64.37</v>
      </c>
      <c r="I64" s="33" t="n">
        <v>128.74</v>
      </c>
      <c r="J64" s="33" t="n">
        <v>257.48</v>
      </c>
      <c r="K64" s="28" t="inlineStr">
        <is>
          <t>Mainland (-10.0%)
Olney (+8.3%)
Cisco (+6.8%)
Holcomb (-5.0%)</t>
        </is>
      </c>
      <c r="L64" s="28" t="n"/>
      <c r="M64" s="34" t="n"/>
    </row>
    <row r="65" ht="51" customHeight="1" s="111">
      <c r="A65" s="26" t="inlineStr">
        <is>
          <t>ABNTHWST 138KV</t>
        </is>
      </c>
      <c r="B65" s="27" t="inlineStr">
        <is>
          <t>⚫ Low Priority</t>
        </is>
      </c>
      <c r="C65" s="28" t="inlineStr">
        <is>
          <t>x</t>
        </is>
      </c>
      <c r="D65" s="29" t="inlineStr">
        <is>
          <t>HE17, HE16, HE18</t>
        </is>
      </c>
      <c r="E65" s="28" t="inlineStr">
        <is>
          <t>Saw this one hit hard during Fern. Associated with high north load during the down ramp. The days we saw this congestion reach shadow prices of $200 $/mwh, North load was getting up to 24GW</t>
        </is>
      </c>
      <c r="F65" s="29" t="inlineStr">
        <is>
          <t>Cisco (13.9%)</t>
        </is>
      </c>
      <c r="G65" s="30" t="n">
        <v>0.13947</v>
      </c>
      <c r="H65" s="32" t="n">
        <v>69.735</v>
      </c>
      <c r="I65" s="33" t="n">
        <v>139.47</v>
      </c>
      <c r="J65" s="33" t="n">
        <v>278.94</v>
      </c>
      <c r="K65" s="28" t="inlineStr">
        <is>
          <t>—</t>
        </is>
      </c>
      <c r="L65" s="28" t="n"/>
      <c r="M65" s="34" t="n"/>
    </row>
    <row r="66" ht="30" customHeight="1" s="111">
      <c r="A66" s="26" t="inlineStr">
        <is>
          <t>KLNSW-STAGE 138KV</t>
        </is>
      </c>
      <c r="B66" s="27" t="inlineStr">
        <is>
          <t>⚫ Low Priority</t>
        </is>
      </c>
      <c r="C66" s="28" t="inlineStr">
        <is>
          <t>March 17-31</t>
        </is>
      </c>
      <c r="D66" s="29" t="inlineStr">
        <is>
          <t>HE22, HE23, HE24</t>
        </is>
      </c>
      <c r="E66" s="28" t="inlineStr">
        <is>
          <t>Outage driven here. Not strong enough  shift factors to to make a huge difference</t>
        </is>
      </c>
      <c r="F66" s="29" t="inlineStr">
        <is>
          <t>Val Verde (2.1%)</t>
        </is>
      </c>
      <c r="G66" s="30" t="n">
        <v>0.021</v>
      </c>
      <c r="H66" s="31" t="n">
        <v>10.5</v>
      </c>
      <c r="I66" s="31" t="n">
        <v>21</v>
      </c>
      <c r="J66" s="31" t="n">
        <v>42</v>
      </c>
      <c r="K66" s="28" t="inlineStr">
        <is>
          <t>Russek (-4.0%)
Judkins (-4.0%)
Saddleback (-4.0%)
Cisco (-3.0%)</t>
        </is>
      </c>
      <c r="L66" s="28" t="n"/>
      <c r="M66" s="34" t="n"/>
    </row>
    <row r="67" ht="51" customHeight="1" s="111">
      <c r="A67" s="26" t="inlineStr">
        <is>
          <t>HAMILTON-MAVERICK 138KV</t>
        </is>
      </c>
      <c r="B67" s="27" t="inlineStr">
        <is>
          <t>⚫ Low Priority</t>
        </is>
      </c>
      <c r="C67" s="28" t="inlineStr">
        <is>
          <t>x</t>
        </is>
      </c>
      <c r="D67" s="29" t="inlineStr">
        <is>
          <t>HE17, HE20, HE21</t>
        </is>
      </c>
      <c r="E67" s="28" t="inlineStr">
        <is>
          <t>I think this is associated with high west winds and low south wind but not rlly sure. May have to dig deeper here</t>
        </is>
      </c>
      <c r="F67" s="29" t="inlineStr">
        <is>
          <t>Fort Duncan (19.6%)</t>
        </is>
      </c>
      <c r="G67" s="30" t="n">
        <v>0.19612</v>
      </c>
      <c r="H67" s="32" t="n">
        <v>98.06</v>
      </c>
      <c r="I67" s="33" t="n">
        <v>196.12</v>
      </c>
      <c r="J67" s="33" t="n">
        <v>392.24</v>
      </c>
      <c r="K67" s="28" t="inlineStr">
        <is>
          <t>Hamilton (-56.0%)
Catarina (+7.2%)</t>
        </is>
      </c>
      <c r="L67" s="28" t="n"/>
      <c r="M67" s="34" t="n"/>
    </row>
    <row r="68" ht="30" customHeight="1" s="111">
      <c r="A68" s="26" t="inlineStr">
        <is>
          <t>HCKSW 1KV</t>
        </is>
      </c>
      <c r="B68" s="27" t="inlineStr">
        <is>
          <t>⚫ Low Priority</t>
        </is>
      </c>
      <c r="C68" s="28" t="inlineStr">
        <is>
          <t>April 9th-14th</t>
        </is>
      </c>
      <c r="D68" s="29" t="inlineStr">
        <is>
          <t>HE19, HE21, HE20</t>
        </is>
      </c>
      <c r="E68" s="28" t="inlineStr">
        <is>
          <t>Completely outage driven. Super weak shift factor here at dibol for 1%</t>
        </is>
      </c>
      <c r="F68" s="29" t="inlineStr">
        <is>
          <t>—</t>
        </is>
      </c>
      <c r="G68" s="29" t="n"/>
      <c r="H68" s="29" t="n"/>
      <c r="I68" s="29" t="n"/>
      <c r="J68" s="29" t="n"/>
      <c r="K68" s="28" t="inlineStr">
        <is>
          <t>Judkins (-4.0%)
Saddleback (-4.0%)
Russek (-3.5%)
Olney (-3.0%)</t>
        </is>
      </c>
      <c r="L68" s="28" t="n"/>
      <c r="M68" s="34" t="n"/>
    </row>
    <row r="69" ht="38.25" customHeight="1" s="111">
      <c r="A69" s="26" t="inlineStr">
        <is>
          <t>PILONCIL-CATARINA 138KV</t>
        </is>
      </c>
      <c r="B69" s="27" t="inlineStr">
        <is>
          <t>⚫ Low Priority</t>
        </is>
      </c>
      <c r="C69" s="28" t="inlineStr">
        <is>
          <t>x</t>
        </is>
      </c>
      <c r="D69" s="29" t="inlineStr">
        <is>
          <t>HE22, HE20, HE21</t>
        </is>
      </c>
      <c r="E69" s="28" t="inlineStr">
        <is>
          <t>Only seen congestion once here on May 27th 2025. really has to just be outage driven considering we only saw it for 1 day</t>
        </is>
      </c>
      <c r="F69" s="29" t="inlineStr">
        <is>
          <t>Catarina (33.7%)</t>
        </is>
      </c>
      <c r="G69" s="30" t="n">
        <v>0.337</v>
      </c>
      <c r="H69" s="33" t="n">
        <v>168.5</v>
      </c>
      <c r="I69" s="33" t="n">
        <v>337</v>
      </c>
      <c r="J69" s="33" t="n">
        <v>674</v>
      </c>
      <c r="K69" s="28" t="inlineStr">
        <is>
          <t>Holcomb (-9.8%)</t>
        </is>
      </c>
      <c r="L69" s="28" t="n"/>
      <c r="M69" s="34" t="n"/>
    </row>
    <row r="70" ht="38.25" customHeight="1" s="111">
      <c r="A70" s="26" t="inlineStr">
        <is>
          <t>W_BATESV-UVALDE 138KV</t>
        </is>
      </c>
      <c r="B70" s="27" t="inlineStr">
        <is>
          <t>⚫ Low Priority</t>
        </is>
      </c>
      <c r="C70" s="28" t="inlineStr">
        <is>
          <t>all</t>
        </is>
      </c>
      <c r="D70" s="29" t="inlineStr">
        <is>
          <t>HE22, HE4, HE21</t>
        </is>
      </c>
      <c r="E70" s="28" t="inlineStr">
        <is>
          <t>Ft Duncan and Hamilton have 20% shift factors here w/ cat on the neg side. Could be related to low north wind output, don't think it has anything to do with load and low NTX wind gen is the only consistent factor seen.</t>
        </is>
      </c>
      <c r="F70" s="29" t="inlineStr">
        <is>
          <t>Fort Duncan (30.0%)</t>
        </is>
      </c>
      <c r="G70" s="30" t="n">
        <v>0.29993</v>
      </c>
      <c r="H70" s="33" t="n">
        <v>149.965</v>
      </c>
      <c r="I70" s="33" t="n">
        <v>299.93</v>
      </c>
      <c r="J70" s="33" t="n">
        <v>599.86</v>
      </c>
      <c r="K70" s="28" t="inlineStr">
        <is>
          <t>Hamilton (+27.5%)
Catarina (-15.0%)
Holcomb (-6.0%)</t>
        </is>
      </c>
      <c r="L70" s="28" t="n"/>
      <c r="M70" s="34" t="n"/>
    </row>
    <row r="71" ht="51" customHeight="1" s="111">
      <c r="A71" s="26" t="inlineStr">
        <is>
          <t>VALEXP</t>
        </is>
      </c>
      <c r="B71" s="27" t="inlineStr">
        <is>
          <t>⚫ Low Priority</t>
        </is>
      </c>
      <c r="C71" s="28" t="inlineStr">
        <is>
          <t>Mostly winter</t>
        </is>
      </c>
      <c r="D71" s="29" t="inlineStr">
        <is>
          <t>HE4, HE3, HE5</t>
        </is>
      </c>
      <c r="E71" s="28" t="inlineStr">
        <is>
          <t>Not relly sure what the driver is here. This is a massive base case line in STX going from Edinburg to around Port Aransas. Only thing that correlates is low North wind gen and sub 5GW of WTX gen but that doesn't make much sense considering the location</t>
        </is>
      </c>
      <c r="F71" s="29" t="inlineStr">
        <is>
          <t>—</t>
        </is>
      </c>
      <c r="G71" s="29" t="n"/>
      <c r="H71" s="29" t="n"/>
      <c r="I71" s="29" t="n"/>
      <c r="J71" s="29" t="n"/>
      <c r="K71" s="28" t="inlineStr">
        <is>
          <t>Val Verde (-98.2%)</t>
        </is>
      </c>
      <c r="L71" s="28" t="n"/>
      <c r="M71" s="34" t="n"/>
    </row>
    <row r="72" ht="51" customHeight="1" s="111">
      <c r="A72" s="26" t="inlineStr">
        <is>
          <t>MDO-PHR 345KV</t>
        </is>
      </c>
      <c r="B72" s="27" t="inlineStr">
        <is>
          <t>⚫ Low Priority</t>
        </is>
      </c>
      <c r="C72" s="28" t="inlineStr">
        <is>
          <t>Summer</t>
        </is>
      </c>
      <c r="D72" s="29" t="inlineStr">
        <is>
          <t>HE16, HE14, HE15</t>
        </is>
      </c>
      <c r="E72" s="28" t="inlineStr">
        <is>
          <t>See a little show up in May in april of this year. Was common last summer. Not sure exactly what the driving factor is here. Houston load could be the driving factor here, tends to pop up when we reach 20GW of load in houston.</t>
        </is>
      </c>
      <c r="F72" s="29" t="inlineStr">
        <is>
          <t>—</t>
        </is>
      </c>
      <c r="G72" s="29" t="n"/>
      <c r="H72" s="29" t="n"/>
      <c r="I72" s="29" t="n"/>
      <c r="J72" s="29" t="n"/>
      <c r="K72" s="28" t="inlineStr">
        <is>
          <t>Val Verde (-10.0%)
Holcomb (-9.6%)
Catarina (-9.1%)
Fort Duncan (-7.7%)</t>
        </is>
      </c>
      <c r="L72" s="28" t="n"/>
      <c r="M72" s="34" t="n"/>
    </row>
    <row r="73" ht="38.25" customHeight="1" s="111">
      <c r="A73" s="26" t="inlineStr">
        <is>
          <t>FTSSW-VENSW 345KV</t>
        </is>
      </c>
      <c r="B73" s="27" t="inlineStr">
        <is>
          <t>⚫ Low Priority</t>
        </is>
      </c>
      <c r="C73" s="28" t="inlineStr">
        <is>
          <t>x</t>
        </is>
      </c>
      <c r="D73" s="29" t="inlineStr">
        <is>
          <t>HE16, HE15, HE17</t>
        </is>
      </c>
      <c r="E73" s="28" t="inlineStr">
        <is>
          <t>Seems like a pretty big Pre-RTC congestion commoner. Only seen once post RTC swithover on Jan 5th. Pic on right. Strong driver was days of high loads, esp the north reaching to 24 +GW of load.</t>
        </is>
      </c>
      <c r="F73" s="29" t="inlineStr">
        <is>
          <t>—</t>
        </is>
      </c>
      <c r="G73" s="29" t="n"/>
      <c r="H73" s="29" t="n"/>
      <c r="I73" s="29" t="n"/>
      <c r="J73" s="29" t="n"/>
      <c r="K73" s="28" t="inlineStr">
        <is>
          <t>Holcomb (-6.0%)
Val Verde (-6.0%)
Catarina (-5.7%)
Fort Duncan (-4.7%)</t>
        </is>
      </c>
      <c r="L73" s="28" t="n"/>
      <c r="M73" s="34" t="n"/>
    </row>
    <row r="74" ht="30" customHeight="1" s="111">
      <c r="A74" s="26" t="inlineStr">
        <is>
          <t>NVKSW-ANARN 69KV</t>
        </is>
      </c>
      <c r="B74" s="27" t="inlineStr">
        <is>
          <t>⚫ Low Priority</t>
        </is>
      </c>
      <c r="C74" s="28" t="inlineStr">
        <is>
          <t>x</t>
        </is>
      </c>
      <c r="D74" s="29" t="inlineStr">
        <is>
          <t>HE18, HE17, HE16</t>
        </is>
      </c>
      <c r="E74" s="28" t="inlineStr">
        <is>
          <t>Strongest during solar window. No direct season associated, pretty sporadic. Only driver I can find is when north wind levels reach to 1.8GW+, see this one mostly in shoulder seasons when system wide wind levels get to 17GW+. High North winds and panhandle winds are mostly the answer to this congestion</t>
        </is>
      </c>
      <c r="F74" s="29" t="inlineStr">
        <is>
          <t>Olney (47.6%)</t>
        </is>
      </c>
      <c r="G74" s="30" t="n">
        <v>0.476</v>
      </c>
      <c r="H74" s="33" t="n">
        <v>238</v>
      </c>
      <c r="I74" s="33" t="n">
        <v>476</v>
      </c>
      <c r="J74" s="33" t="n">
        <v>952</v>
      </c>
      <c r="K74" s="28" t="inlineStr">
        <is>
          <t>—</t>
        </is>
      </c>
      <c r="L74" s="28" t="n"/>
      <c r="M74" s="34" t="n"/>
    </row>
    <row r="75" ht="51" customHeight="1" s="111">
      <c r="A75" s="26" t="inlineStr">
        <is>
          <t>OZONA-MIDW 69KV</t>
        </is>
      </c>
      <c r="B75" s="27" t="inlineStr">
        <is>
          <t>⚫ Low Priority</t>
        </is>
      </c>
      <c r="C75" s="28" t="inlineStr">
        <is>
          <t>Sporadic</t>
        </is>
      </c>
      <c r="D75" s="29" t="inlineStr">
        <is>
          <t>HE16, HE15, HE13</t>
        </is>
      </c>
      <c r="E75" s="28" t="inlineStr">
        <is>
          <t>My theory is low wtx load paired with low wtx wind gen but could also be outage driven in the area bc these price pops are sporadic.</t>
        </is>
      </c>
      <c r="F75" s="29" t="inlineStr">
        <is>
          <t>Russek (6.0%)</t>
        </is>
      </c>
      <c r="G75" s="30" t="n">
        <v>0.06</v>
      </c>
      <c r="H75" s="31" t="n">
        <v>30</v>
      </c>
      <c r="I75" s="32" t="n">
        <v>60</v>
      </c>
      <c r="J75" s="33" t="n">
        <v>120</v>
      </c>
      <c r="K75" s="28" t="inlineStr">
        <is>
          <t>—</t>
        </is>
      </c>
      <c r="L75" s="28" t="n"/>
      <c r="M75" s="34" t="n"/>
    </row>
    <row r="76" ht="51" customHeight="1" s="111">
      <c r="A76" s="26" t="inlineStr">
        <is>
          <t>TMPSW-TMPCR 345KV</t>
        </is>
      </c>
      <c r="B76" s="27" t="inlineStr">
        <is>
          <t>⚫ Low Priority</t>
        </is>
      </c>
      <c r="C76" s="28" t="inlineStr">
        <is>
          <t>x</t>
        </is>
      </c>
      <c r="D76" s="29" t="inlineStr">
        <is>
          <t>HE21, HE20, HE4</t>
        </is>
      </c>
      <c r="E76" s="28" t="inlineStr">
        <is>
          <t>This is completely outage drive. Only seen one day and we don't have much of a shift factor. Delete this</t>
        </is>
      </c>
      <c r="F76" s="29" t="inlineStr">
        <is>
          <t>Diboll (8.2%)</t>
        </is>
      </c>
      <c r="G76" s="30" t="n">
        <v>0.082</v>
      </c>
      <c r="H76" s="31" t="n">
        <v>41</v>
      </c>
      <c r="I76" s="32" t="n">
        <v>82</v>
      </c>
      <c r="J76" s="33" t="n">
        <v>164</v>
      </c>
      <c r="K76" s="28" t="inlineStr">
        <is>
          <t>Holcomb (-10.0%)
Val Verde (-9.9%)
Catarina (-9.3%)
Olney (+8.1%)</t>
        </is>
      </c>
      <c r="L76" s="28" t="n"/>
      <c r="M76" s="34" t="n"/>
    </row>
    <row r="77" ht="51" customHeight="1" s="111">
      <c r="A77" s="26" t="inlineStr">
        <is>
          <t>ZEN-THW 345KV</t>
        </is>
      </c>
      <c r="B77" s="27" t="inlineStr">
        <is>
          <t>⚫ Low Priority</t>
        </is>
      </c>
      <c r="C77" s="28" t="inlineStr">
        <is>
          <t>x</t>
        </is>
      </c>
      <c r="D77" s="29" t="inlineStr">
        <is>
          <t>HE15, HE14, HE16</t>
        </is>
      </c>
      <c r="E77" s="28" t="inlineStr">
        <is>
          <t>Don't get much shadow pricing here. Delete this</t>
        </is>
      </c>
      <c r="F77" s="29" t="inlineStr">
        <is>
          <t>Mainland (11.1%)</t>
        </is>
      </c>
      <c r="G77" s="30" t="n">
        <v>0.12782</v>
      </c>
      <c r="H77" s="32" t="n">
        <v>63.91</v>
      </c>
      <c r="I77" s="33" t="n">
        <v>127.82</v>
      </c>
      <c r="J77" s="33" t="n">
        <v>255.64</v>
      </c>
      <c r="K77" s="28" t="inlineStr">
        <is>
          <t>Cisco (-84.0%)
Diboll (-10.0%)
Olney (-8.0%)
Judkins (-7.7%)</t>
        </is>
      </c>
      <c r="L77" s="28" t="n"/>
      <c r="M77" s="34" t="n"/>
    </row>
    <row r="78" ht="38.25" customHeight="1" s="111">
      <c r="A78" s="26" t="inlineStr">
        <is>
          <t>DOW-OAS 345KV</t>
        </is>
      </c>
      <c r="B78" s="27" t="inlineStr">
        <is>
          <t>⚫ Low Priority</t>
        </is>
      </c>
      <c r="C78" s="28" t="inlineStr">
        <is>
          <t>x</t>
        </is>
      </c>
      <c r="D78" s="29" t="inlineStr">
        <is>
          <t>HE14, HE16, HE15</t>
        </is>
      </c>
      <c r="E78" s="28" t="inlineStr">
        <is>
          <t>This could be outage driven based on its spiradic history. See the highest shadow pricing with coastal wind levels at 2.5GW+</t>
        </is>
      </c>
      <c r="F78" s="29" t="inlineStr">
        <is>
          <t>Mainland (17.6%)</t>
        </is>
      </c>
      <c r="G78" s="30" t="n">
        <v>0.1758</v>
      </c>
      <c r="H78" s="32" t="n">
        <v>87.90000000000001</v>
      </c>
      <c r="I78" s="33" t="n">
        <v>175.8</v>
      </c>
      <c r="J78" s="33" t="n">
        <v>351.6</v>
      </c>
      <c r="K78" s="28" t="inlineStr">
        <is>
          <t>Val Verde (-8.2%)
Holcomb (-7.7%)
Catarina (-7.2%)
Fort Duncan (-6.0%)</t>
        </is>
      </c>
      <c r="L78" s="28" t="n"/>
      <c r="M78" s="34" t="n"/>
    </row>
    <row r="79" ht="51" customHeight="1" s="111">
      <c r="A79" s="26" t="inlineStr">
        <is>
          <t>MAVERICK-HAMILTON 138KV</t>
        </is>
      </c>
      <c r="B79" s="27" t="inlineStr">
        <is>
          <t>⚫ Low Priority</t>
        </is>
      </c>
      <c r="C79" s="28" t="inlineStr">
        <is>
          <t>x</t>
        </is>
      </c>
      <c r="D79" s="29" t="inlineStr">
        <is>
          <t>HE2, HE4, HE3</t>
        </is>
      </c>
      <c r="E79" s="28" t="inlineStr">
        <is>
          <t>Outage driven line. Saw in Jan</t>
        </is>
      </c>
      <c r="F79" s="29" t="inlineStr">
        <is>
          <t>Hamilton (40.6%)</t>
        </is>
      </c>
      <c r="G79" s="30" t="n">
        <v>0.40605</v>
      </c>
      <c r="H79" s="33" t="n">
        <v>203.025</v>
      </c>
      <c r="I79" s="33" t="n">
        <v>406.05</v>
      </c>
      <c r="J79" s="33" t="n">
        <v>812.1</v>
      </c>
      <c r="K79" s="28" t="inlineStr">
        <is>
          <t>Fort Duncan (-25.8%)
Catarina (-8.9%)
Russek (+5.3%)</t>
        </is>
      </c>
      <c r="L79" s="28" t="n"/>
      <c r="M79" s="34" t="n"/>
    </row>
    <row r="80" ht="30" customHeight="1" s="111">
      <c r="A80" s="26" t="inlineStr">
        <is>
          <t>SNDSW-AUSTRO 345KV</t>
        </is>
      </c>
      <c r="B80" s="27" t="inlineStr">
        <is>
          <t>⚫ Low Priority</t>
        </is>
      </c>
      <c r="C80" s="28" t="inlineStr">
        <is>
          <t>Spring</t>
        </is>
      </c>
      <c r="D80" s="29" t="inlineStr">
        <is>
          <t>HE16, HE17, HE15</t>
        </is>
      </c>
      <c r="E80" s="28" t="inlineStr">
        <is>
          <t>Our south assets have strong shift factors here at around 15%. Shadow pricing has been very weak only reaching $237 max which is when stx load has reached 17GW.</t>
        </is>
      </c>
      <c r="F80" s="29" t="inlineStr">
        <is>
          <t>Holcomb (15.0%)</t>
        </is>
      </c>
      <c r="G80" s="30" t="n">
        <v>0.15042</v>
      </c>
      <c r="H80" s="32" t="n">
        <v>75.20999999999999</v>
      </c>
      <c r="I80" s="33" t="n">
        <v>150.42</v>
      </c>
      <c r="J80" s="33" t="n">
        <v>300.84</v>
      </c>
      <c r="K80" s="28" t="inlineStr">
        <is>
          <t>Val Verde (+14.8%)
Catarina (+14.1%)
Fort Duncan (+11.4%)
Olney (-9.9%)</t>
        </is>
      </c>
      <c r="L80" s="28" t="n"/>
      <c r="M80" s="34" t="n"/>
    </row>
    <row r="81" ht="30" customHeight="1" s="111">
      <c r="A81" s="26" t="inlineStr">
        <is>
          <t>GANSO-MAVERICK 138KV</t>
        </is>
      </c>
      <c r="B81" s="27" t="inlineStr">
        <is>
          <t>⚫ Low Priority</t>
        </is>
      </c>
      <c r="C81" s="28" t="inlineStr">
        <is>
          <t>x</t>
        </is>
      </c>
      <c r="D81" s="29" t="inlineStr">
        <is>
          <t>HE4, HE6, HE5</t>
        </is>
      </c>
      <c r="E81" s="28" t="inlineStr">
        <is>
          <t>Pretty common to see when you get 2GW+ of wind gen in the coast. Prob has to do more with outages here during the time seen really only one day in january</t>
        </is>
      </c>
      <c r="F81" s="29" t="inlineStr">
        <is>
          <t>Hamilton (40.2%)</t>
        </is>
      </c>
      <c r="G81" s="30" t="n">
        <v>0.40193</v>
      </c>
      <c r="H81" s="33" t="n">
        <v>200.965</v>
      </c>
      <c r="I81" s="33" t="n">
        <v>401.93</v>
      </c>
      <c r="J81" s="33" t="n">
        <v>803.86</v>
      </c>
      <c r="K81" s="28" t="inlineStr">
        <is>
          <t>Catarina (-9.2%)
Holcomb (-4.4%)</t>
        </is>
      </c>
      <c r="L81" s="28" t="n"/>
      <c r="M81" s="34" t="n"/>
    </row>
    <row r="82" ht="51" customHeight="1" s="111">
      <c r="A82" s="26" t="inlineStr">
        <is>
          <t>RIOHONDO-MV_BURNS 138KV</t>
        </is>
      </c>
      <c r="B82" s="27" t="inlineStr">
        <is>
          <t>⚫ Low Priority</t>
        </is>
      </c>
      <c r="C82" s="28" t="inlineStr">
        <is>
          <t>July and Aug 2025</t>
        </is>
      </c>
      <c r="D82" s="29" t="inlineStr">
        <is>
          <t>HE18, HE17, HE19</t>
        </is>
      </c>
      <c r="E82" s="28" t="inlineStr">
        <is>
          <t>Haven't seen at all in RTC. Should be interesting to see, this is correlated with high south loads, specifically 19GW+ with over 2GW+ of stx wind gen and 2.5GW+ of coastal gen</t>
        </is>
      </c>
      <c r="F82" s="29" t="inlineStr">
        <is>
          <t>Val Verde (19.8%)</t>
        </is>
      </c>
      <c r="G82" s="30" t="n">
        <v>0.1976</v>
      </c>
      <c r="H82" s="32" t="n">
        <v>98.8</v>
      </c>
      <c r="I82" s="33" t="n">
        <v>197.6</v>
      </c>
      <c r="J82" s="33" t="n">
        <v>395.2</v>
      </c>
      <c r="K82" s="28" t="inlineStr">
        <is>
          <t>—</t>
        </is>
      </c>
      <c r="L82" s="28" t="n"/>
      <c r="M82" s="34" t="n"/>
    </row>
    <row r="83" ht="30" customHeight="1" s="111">
      <c r="A83" s="26" t="inlineStr">
        <is>
          <t>MADDUX-SAPOWER 138KV</t>
        </is>
      </c>
      <c r="B83" s="27" t="inlineStr">
        <is>
          <t>⚫ Low Priority</t>
        </is>
      </c>
      <c r="C83" s="28" t="inlineStr">
        <is>
          <t>x</t>
        </is>
      </c>
      <c r="D83" s="29" t="inlineStr">
        <is>
          <t>HE7, HE8, HE6</t>
        </is>
      </c>
      <c r="E83" s="28" t="inlineStr">
        <is>
          <t>Skip this one. Super low shadow price (not even above $150)</t>
        </is>
      </c>
      <c r="F83" s="29" t="inlineStr">
        <is>
          <t>—</t>
        </is>
      </c>
      <c r="G83" s="29" t="n"/>
      <c r="H83" s="29" t="n"/>
      <c r="I83" s="29" t="n"/>
      <c r="J83" s="29" t="n"/>
      <c r="K83" s="28" t="inlineStr">
        <is>
          <t>Junction (-33.6%)
Hamilton (-11.7%)
Fort Duncan (-7.4%)
Russek (-7.0%)</t>
        </is>
      </c>
      <c r="L83" s="28" t="n"/>
      <c r="M83" s="34" t="n"/>
    </row>
    <row r="84" ht="30" customHeight="1" s="111">
      <c r="A84" s="26" t="inlineStr">
        <is>
          <t>MILLER-HENLY 138KV</t>
        </is>
      </c>
      <c r="B84" s="27" t="inlineStr">
        <is>
          <t>⚫ Low Priority</t>
        </is>
      </c>
      <c r="C84" s="28" t="inlineStr">
        <is>
          <t>x</t>
        </is>
      </c>
      <c r="D84" s="29" t="inlineStr">
        <is>
          <t>HE17, HE18, HE19</t>
        </is>
      </c>
      <c r="E84" s="28" t="inlineStr">
        <is>
          <t>Skip this one. Completely outage driven in sept of 25</t>
        </is>
      </c>
      <c r="F84" s="29" t="inlineStr">
        <is>
          <t>—</t>
        </is>
      </c>
      <c r="G84" s="29" t="n"/>
      <c r="H84" s="29" t="n"/>
      <c r="I84" s="29" t="n"/>
      <c r="J84" s="29" t="n"/>
      <c r="K84" s="28" t="inlineStr">
        <is>
          <t>Junction (-11.0%)</t>
        </is>
      </c>
      <c r="L84" s="28" t="n"/>
      <c r="M84" s="34" t="n"/>
    </row>
    <row r="85" ht="51" customHeight="1" s="111">
      <c r="A85" s="26" t="inlineStr">
        <is>
          <t>ODESA-ODNTH 138KV</t>
        </is>
      </c>
      <c r="B85" s="27" t="inlineStr">
        <is>
          <t>⚫ Low Priority</t>
        </is>
      </c>
      <c r="C85" s="28" t="inlineStr">
        <is>
          <t>winter</t>
        </is>
      </c>
      <c r="D85" s="29" t="inlineStr">
        <is>
          <t>HE23, HE5, HE22</t>
        </is>
      </c>
      <c r="E85" s="28" t="inlineStr">
        <is>
          <t>See this in the winter with 10GW+ of wtx wind gen</t>
        </is>
      </c>
      <c r="F85" s="29" t="inlineStr">
        <is>
          <t>Saddleback (8.0%)</t>
        </is>
      </c>
      <c r="G85" s="30" t="n">
        <v>0.08</v>
      </c>
      <c r="H85" s="31" t="n">
        <v>40</v>
      </c>
      <c r="I85" s="32" t="n">
        <v>80</v>
      </c>
      <c r="J85" s="33" t="n">
        <v>160</v>
      </c>
      <c r="K85" s="28" t="inlineStr">
        <is>
          <t>—</t>
        </is>
      </c>
      <c r="L85" s="28" t="n"/>
      <c r="M85" s="34" t="n"/>
    </row>
    <row r="86" ht="51" customHeight="1" s="111">
      <c r="A86" s="26" t="inlineStr">
        <is>
          <t>CPSES-MBDSW 345KV</t>
        </is>
      </c>
      <c r="B86" s="27" t="inlineStr">
        <is>
          <t>⚫ Low Priority</t>
        </is>
      </c>
      <c r="C86" s="28" t="inlineStr">
        <is>
          <t>outage</t>
        </is>
      </c>
      <c r="D86" s="29" t="inlineStr">
        <is>
          <t>HE20, HE1, HE7</t>
        </is>
      </c>
      <c r="E86" s="28" t="inlineStr">
        <is>
          <t>Mostly outage driven here. Saw in nov and 2 days in april. Also need like 20GW+ of wind gen online. Prob common to see when WESTEX is flaring up</t>
        </is>
      </c>
      <c r="F86" s="29" t="inlineStr">
        <is>
          <t>—</t>
        </is>
      </c>
      <c r="G86" s="29" t="n"/>
      <c r="H86" s="29" t="n"/>
      <c r="I86" s="29" t="n"/>
      <c r="J86" s="29" t="n"/>
      <c r="K86" s="28" t="inlineStr">
        <is>
          <t>Russek (-6.0%)
Judkins (-5.9%)
Saddleback (-5.8%)
Junction (-4.5%)</t>
        </is>
      </c>
      <c r="L86" s="28" t="n"/>
      <c r="M86" s="34" t="n"/>
    </row>
    <row r="87" ht="38.25" customHeight="1" s="111">
      <c r="A87" s="26" t="inlineStr">
        <is>
          <t>KENDAL-BERGHE 345KV</t>
        </is>
      </c>
      <c r="B87" s="27" t="inlineStr">
        <is>
          <t>⚫ Low Priority</t>
        </is>
      </c>
      <c r="C87" s="28" t="inlineStr">
        <is>
          <t>x</t>
        </is>
      </c>
      <c r="D87" s="29" t="inlineStr">
        <is>
          <t>HE14, HE13, HE12</t>
        </is>
      </c>
      <c r="E87" s="28" t="inlineStr">
        <is>
          <t>See this with like 13GW+ of west wind. Haven't seen a shadow price above $150 so don't look too deep into. Can see in all hours but most common in HE11-17</t>
        </is>
      </c>
      <c r="F87" s="29" t="inlineStr">
        <is>
          <t>Val Verde (10.3%)</t>
        </is>
      </c>
      <c r="G87" s="30" t="n">
        <v>0.10349</v>
      </c>
      <c r="H87" s="32" t="n">
        <v>51.745</v>
      </c>
      <c r="I87" s="33" t="n">
        <v>103.49</v>
      </c>
      <c r="J87" s="33" t="n">
        <v>206.98</v>
      </c>
      <c r="K87" s="28" t="inlineStr">
        <is>
          <t>Junction (-15.7%)
Saddleback (-14.5%)
Russek (-13.8%)
Judkins (-13.2%)</t>
        </is>
      </c>
      <c r="L87" s="28" t="n"/>
      <c r="M87" s="34" t="n"/>
    </row>
    <row r="88" ht="30" customHeight="1" s="111">
      <c r="A88" s="26" t="inlineStr">
        <is>
          <t>DOWNIES-MOORE 138KV</t>
        </is>
      </c>
      <c r="B88" s="27" t="inlineStr">
        <is>
          <t>⚫ Low Priority</t>
        </is>
      </c>
      <c r="C88" s="28" t="inlineStr">
        <is>
          <t>Summer 25</t>
        </is>
      </c>
      <c r="D88" s="29" t="inlineStr">
        <is>
          <t>HE14, HE16, HE15</t>
        </is>
      </c>
      <c r="E88" s="28" t="inlineStr">
        <is>
          <t>delete too low shift factor. Was all outage driven in may 25</t>
        </is>
      </c>
      <c r="F88" s="29" t="inlineStr">
        <is>
          <t>—</t>
        </is>
      </c>
      <c r="G88" s="29" t="n"/>
      <c r="H88" s="29" t="n"/>
      <c r="I88" s="29" t="n"/>
      <c r="J88" s="29" t="n"/>
      <c r="K88" s="28" t="inlineStr">
        <is>
          <t>Fort Duncan (-18.2%)
Hamilton (-15.5%)
Catarina (-6.0%)</t>
        </is>
      </c>
      <c r="L88" s="28" t="n"/>
      <c r="M88" s="34" t="n"/>
    </row>
    <row r="89" ht="51" customHeight="1" s="111">
      <c r="A89" s="26" t="inlineStr">
        <is>
          <t>TNFXTAIL-FLAT_TOP 138KV</t>
        </is>
      </c>
      <c r="B89" s="27" t="inlineStr">
        <is>
          <t>⚫ Low Priority</t>
        </is>
      </c>
      <c r="C89" s="28" t="inlineStr">
        <is>
          <t>Fall 25</t>
        </is>
      </c>
      <c r="D89" s="29" t="inlineStr">
        <is>
          <t>HE17, HE16, HE15</t>
        </is>
      </c>
      <c r="E89" s="28" t="inlineStr">
        <is>
          <t>Good shift factors on WTX sites but never get much shadow pricing. See this when WTX wind goes sub 5GW only get like max $350 of shadow pricing</t>
        </is>
      </c>
      <c r="F89" s="29" t="inlineStr">
        <is>
          <t>Saddleback (31.3%)</t>
        </is>
      </c>
      <c r="G89" s="30" t="n">
        <v>0.31332</v>
      </c>
      <c r="H89" s="33" t="n">
        <v>156.66</v>
      </c>
      <c r="I89" s="33" t="n">
        <v>313.32</v>
      </c>
      <c r="J89" s="33" t="n">
        <v>626.64</v>
      </c>
      <c r="K89" s="28" t="inlineStr">
        <is>
          <t>—</t>
        </is>
      </c>
      <c r="L89" s="28" t="n"/>
      <c r="M89" s="34" t="n"/>
    </row>
    <row r="90" ht="51" customHeight="1" s="111">
      <c r="A90" s="26" t="inlineStr">
        <is>
          <t>EXCSW-RNKSW 345KV</t>
        </is>
      </c>
      <c r="B90" s="27" t="inlineStr">
        <is>
          <t>⚫ Low Priority</t>
        </is>
      </c>
      <c r="C90" s="28" t="inlineStr">
        <is>
          <t>x</t>
        </is>
      </c>
      <c r="D90" s="29" t="inlineStr">
        <is>
          <t>HE20, HE21, HE19</t>
        </is>
      </c>
      <c r="E90" s="28" t="inlineStr">
        <is>
          <t>Theory here is also high wind generation throughout ERCOT. Too low of shift factors</t>
        </is>
      </c>
      <c r="F90" s="29" t="inlineStr">
        <is>
          <t>Diboll (4.4%)</t>
        </is>
      </c>
      <c r="G90" s="30" t="n">
        <v>0.04448</v>
      </c>
      <c r="H90" s="31" t="n">
        <v>22.24</v>
      </c>
      <c r="I90" s="31" t="n">
        <v>44.48</v>
      </c>
      <c r="J90" s="32" t="n">
        <v>88.95999999999999</v>
      </c>
      <c r="K90" s="28" t="inlineStr">
        <is>
          <t>Olney (-6.8%)
Cisco (-6.6%)
Judkins (-6.4%)
Saddleback (-6.2%)</t>
        </is>
      </c>
      <c r="L90" s="28" t="n"/>
      <c r="M90" s="34" t="n"/>
    </row>
    <row r="91" ht="30" customHeight="1" s="111">
      <c r="A91" s="26" t="inlineStr">
        <is>
          <t>GT-BG 138KV</t>
        </is>
      </c>
      <c r="B91" s="27" t="inlineStr">
        <is>
          <t>⚫ Low Priority</t>
        </is>
      </c>
      <c r="C91" s="28" t="inlineStr">
        <is>
          <t>All in April 2026</t>
        </is>
      </c>
      <c r="D91" s="29" t="inlineStr">
        <is>
          <t>HE17, HE16, HE12</t>
        </is>
      </c>
      <c r="E91" s="28" t="inlineStr">
        <is>
          <t>Probably all outage driven for the month of april. Best shadow pricing seen at 2.6GW+ of coastal wind gen.</t>
        </is>
      </c>
      <c r="F91" s="29" t="inlineStr">
        <is>
          <t>Mainland (14.3%)</t>
        </is>
      </c>
      <c r="G91" s="30" t="n">
        <v>0.14257</v>
      </c>
      <c r="H91" s="32" t="n">
        <v>71.285</v>
      </c>
      <c r="I91" s="33" t="n">
        <v>142.57</v>
      </c>
      <c r="J91" s="33" t="n">
        <v>285.14</v>
      </c>
      <c r="K91" s="28" t="inlineStr">
        <is>
          <t>—</t>
        </is>
      </c>
      <c r="L91" s="28" t="n"/>
      <c r="M91" s="34" t="n"/>
    </row>
    <row r="92" ht="38.25" customHeight="1" s="111">
      <c r="A92" s="26" t="inlineStr">
        <is>
          <t>I_KALO</t>
        </is>
      </c>
      <c r="B92" s="27" t="inlineStr">
        <is>
          <t>⚫ Low Priority</t>
        </is>
      </c>
      <c r="C92" s="28" t="inlineStr">
        <is>
          <t>x</t>
        </is>
      </c>
      <c r="D92" s="29" t="inlineStr">
        <is>
          <t>HE13, HE15, HE14</t>
        </is>
      </c>
      <c r="E92" s="28" t="inlineStr">
        <is>
          <t>My theory here is low load days with very high renewables online.</t>
        </is>
      </c>
      <c r="F92" s="29" t="inlineStr">
        <is>
          <t>Val Verde (25.7%)</t>
        </is>
      </c>
      <c r="G92" s="30" t="n">
        <v>0.25691</v>
      </c>
      <c r="H92" s="33" t="n">
        <v>128.455</v>
      </c>
      <c r="I92" s="33" t="n">
        <v>256.91</v>
      </c>
      <c r="J92" s="33" t="n">
        <v>513.8200000000001</v>
      </c>
      <c r="K92" s="28" t="inlineStr">
        <is>
          <t>Holcomb (+6.5%)</t>
        </is>
      </c>
      <c r="L92" s="28" t="n"/>
      <c r="M92" s="34" t="n"/>
    </row>
    <row r="93" ht="51" customHeight="1" s="111">
      <c r="A93" s="26" t="inlineStr">
        <is>
          <t>BLESSING 345KV</t>
        </is>
      </c>
      <c r="B93" s="27" t="inlineStr">
        <is>
          <t>⚫ Low Priority</t>
        </is>
      </c>
      <c r="C93" s="28" t="inlineStr">
        <is>
          <t>x</t>
        </is>
      </c>
      <c r="D93" s="29" t="inlineStr">
        <is>
          <t>HE22, HE9, HE7</t>
        </is>
      </c>
      <c r="E93" s="28" t="inlineStr">
        <is>
          <t>This congestion seems to be commonly due to outages. Val Verde has a very significant shift factor on this line, so check any outages in the region. Seems to last into a down ramp and into offpeak hours until you get wind to ramp up and load to chill out (I blelieve). Hard to forsee here, have to check enverus publications</t>
        </is>
      </c>
      <c r="F93" s="29" t="inlineStr">
        <is>
          <t>Pavlov</t>
        </is>
      </c>
      <c r="G93" s="30" t="n">
        <v>0.47</v>
      </c>
      <c r="H93" s="31" t="n">
        <v>31.5</v>
      </c>
      <c r="I93" s="32" t="n">
        <v>63</v>
      </c>
      <c r="J93" s="33" t="n">
        <v>126</v>
      </c>
      <c r="K93" s="28" t="inlineStr">
        <is>
          <t>Holcomb (+4.1%) Val Verde (6.3%)</t>
        </is>
      </c>
      <c r="L93" s="28" t="n"/>
      <c r="M93" s="34" t="n"/>
    </row>
    <row r="94" ht="30" customHeight="1" s="111">
      <c r="A94" s="26" t="inlineStr">
        <is>
          <t>SANA 138KV</t>
        </is>
      </c>
      <c r="B94" s="27" t="inlineStr">
        <is>
          <t>⚫ Low Priority</t>
        </is>
      </c>
      <c r="C94" s="28" t="inlineStr">
        <is>
          <t>Sporadic</t>
        </is>
      </c>
      <c r="D94" s="29" t="inlineStr">
        <is>
          <t>HE6, HE5, HE4</t>
        </is>
      </c>
      <c r="E94" s="28" t="inlineStr">
        <is>
          <t>Will only see this one in one day increments, never see two days in a row. Haven't seen any of this post RTC but could just be driven from other transmission outages in the area. When it pops up there is sub 1GW of North wind. Have very low sf here though</t>
        </is>
      </c>
      <c r="F94" s="29" t="inlineStr">
        <is>
          <t>Cisco (4.0%)</t>
        </is>
      </c>
      <c r="G94" s="30" t="n">
        <v>0.04</v>
      </c>
      <c r="H94" s="31" t="n">
        <v>20</v>
      </c>
      <c r="I94" s="31" t="n">
        <v>40</v>
      </c>
      <c r="J94" s="32" t="n">
        <v>80</v>
      </c>
      <c r="K94" s="28" t="inlineStr">
        <is>
          <t>—</t>
        </is>
      </c>
      <c r="L94" s="28" t="n"/>
      <c r="M94" s="34" t="n"/>
    </row>
    <row r="95" ht="30" customHeight="1" s="111">
      <c r="A95" s="26" t="inlineStr">
        <is>
          <t>ELGISW-BUTLER 138KV</t>
        </is>
      </c>
      <c r="B95" s="27" t="inlineStr">
        <is>
          <t>⚫ Low Priority</t>
        </is>
      </c>
      <c r="C95" s="28" t="inlineStr">
        <is>
          <t>x</t>
        </is>
      </c>
      <c r="D95" s="29" t="inlineStr">
        <is>
          <t>HE18, HE16, HE17</t>
        </is>
      </c>
      <c r="E95" s="28" t="inlineStr">
        <is>
          <t>all outage driven</t>
        </is>
      </c>
      <c r="F95" s="29" t="inlineStr">
        <is>
          <t>Val Verde (4.6%)</t>
        </is>
      </c>
      <c r="G95" s="30" t="n">
        <v>0.046</v>
      </c>
      <c r="H95" s="31" t="n">
        <v>23</v>
      </c>
      <c r="I95" s="31" t="n">
        <v>46</v>
      </c>
      <c r="J95" s="32" t="n">
        <v>92</v>
      </c>
      <c r="K95" s="28" t="inlineStr">
        <is>
          <t>Holcomb (+4.5%)
Catarina (+4.2%)</t>
        </is>
      </c>
      <c r="L95" s="28" t="n"/>
      <c r="M95" s="34" t="n"/>
    </row>
    <row r="96" ht="51" customHeight="1" s="111">
      <c r="A96" s="26" t="inlineStr">
        <is>
          <t>ESTLD-MRVLY 69KV</t>
        </is>
      </c>
      <c r="B96" s="27" t="inlineStr">
        <is>
          <t>⚫ Low Priority</t>
        </is>
      </c>
      <c r="C96" s="28" t="inlineStr">
        <is>
          <t>x</t>
        </is>
      </c>
      <c r="D96" s="29" t="inlineStr">
        <is>
          <t>HE13, HE8, HE9</t>
        </is>
      </c>
      <c r="E96" s="28" t="inlineStr">
        <is>
          <t>I have absolutely no idea what is causing this congestion. Only seen real shadow pricing for 3 days the past year. Skip this.</t>
        </is>
      </c>
      <c r="F96" s="29" t="inlineStr">
        <is>
          <t>Olney (5.3%)</t>
        </is>
      </c>
      <c r="G96" s="30" t="n">
        <v>0.053</v>
      </c>
      <c r="H96" s="31" t="n">
        <v>26.5</v>
      </c>
      <c r="I96" s="32" t="n">
        <v>53</v>
      </c>
      <c r="J96" s="33" t="n">
        <v>106</v>
      </c>
      <c r="K96" s="28" t="inlineStr">
        <is>
          <t>Cisco (-4.5%)</t>
        </is>
      </c>
      <c r="L96" s="28" t="n"/>
      <c r="M96" s="34" t="n"/>
    </row>
    <row r="97" ht="30" customHeight="1" s="111">
      <c r="A97" s="26" t="inlineStr">
        <is>
          <t>HOLMAN-CISTERN 345KV</t>
        </is>
      </c>
      <c r="B97" s="27" t="inlineStr">
        <is>
          <t>⚫ Low Priority</t>
        </is>
      </c>
      <c r="C97" s="28" t="inlineStr">
        <is>
          <t>Outage/Event</t>
        </is>
      </c>
      <c r="D97" s="29" t="inlineStr">
        <is>
          <t>HE21, HE22, HE4</t>
        </is>
      </c>
      <c r="E97" s="28" t="inlineStr">
        <is>
          <t>all outage driven</t>
        </is>
      </c>
      <c r="F97" s="29" t="inlineStr">
        <is>
          <t>Junction (6.5%)</t>
        </is>
      </c>
      <c r="G97" s="30" t="n">
        <v>0.0649</v>
      </c>
      <c r="H97" s="31" t="n">
        <v>32.45</v>
      </c>
      <c r="I97" s="32" t="n">
        <v>64.90000000000001</v>
      </c>
      <c r="J97" s="33" t="n">
        <v>129.8</v>
      </c>
      <c r="K97" s="28" t="inlineStr">
        <is>
          <t>Mainland (-7.1%)
Fort Duncan (+5.6%)
Catarina (+5.6%)
Hamilton (+5.4%)</t>
        </is>
      </c>
      <c r="L97" s="28" t="n"/>
      <c r="M97" s="34" t="n"/>
    </row>
    <row r="98" ht="30" customHeight="1" s="111">
      <c r="A98" s="26" t="inlineStr">
        <is>
          <t>YELWJCKT-HEXT 69KV</t>
        </is>
      </c>
      <c r="B98" s="27" t="inlineStr">
        <is>
          <t>⚫ Low Priority</t>
        </is>
      </c>
      <c r="C98" s="28" t="inlineStr">
        <is>
          <t>x</t>
        </is>
      </c>
      <c r="D98" s="29" t="inlineStr">
        <is>
          <t>HE14, HE17, HE12</t>
        </is>
      </c>
      <c r="E98" s="28" t="inlineStr">
        <is>
          <t>Low shift factors here. Only 5% at junction. Only saw 2 days of real shadow pricing in Jan of 2026. Skip this one</t>
        </is>
      </c>
      <c r="F98" s="29" t="inlineStr">
        <is>
          <t>Junction (5.9%)</t>
        </is>
      </c>
      <c r="G98" s="30" t="n">
        <v>0.059</v>
      </c>
      <c r="H98" s="31" t="n">
        <v>29.5</v>
      </c>
      <c r="I98" s="32" t="n">
        <v>59</v>
      </c>
      <c r="J98" s="33" t="n">
        <v>118</v>
      </c>
      <c r="K98" s="28" t="inlineStr">
        <is>
          <t>—</t>
        </is>
      </c>
      <c r="L98" s="28" t="n"/>
      <c r="M98" s="34" t="n"/>
    </row>
    <row r="99" ht="38.25" customHeight="1" s="111">
      <c r="A99" s="26" t="inlineStr">
        <is>
          <t>CRD 345KV</t>
        </is>
      </c>
      <c r="B99" s="27" t="inlineStr">
        <is>
          <t>⚫ Low Priority</t>
        </is>
      </c>
      <c r="C99" s="28" t="inlineStr">
        <is>
          <t>x</t>
        </is>
      </c>
      <c r="D99" s="29" t="inlineStr">
        <is>
          <t>HE22, HE2, HE1</t>
        </is>
      </c>
      <c r="E99" s="28" t="inlineStr">
        <is>
          <t>all outage driven and russek has the strongest shift factor of 6%.</t>
        </is>
      </c>
      <c r="F99" s="29" t="inlineStr">
        <is>
          <t>Cisco (6.0%)</t>
        </is>
      </c>
      <c r="G99" s="30" t="n">
        <v>0.06</v>
      </c>
      <c r="H99" s="31" t="n">
        <v>30</v>
      </c>
      <c r="I99" s="32" t="n">
        <v>60</v>
      </c>
      <c r="J99" s="33" t="n">
        <v>120</v>
      </c>
      <c r="K99" s="28" t="inlineStr">
        <is>
          <t>—</t>
        </is>
      </c>
      <c r="L99" s="28" t="n"/>
      <c r="M99" s="34" t="n"/>
    </row>
    <row r="100" ht="30" customHeight="1" s="111">
      <c r="A100" s="26" t="inlineStr">
        <is>
          <t>BRACKETT-ESCONDID 138KV</t>
        </is>
      </c>
      <c r="B100" s="27" t="inlineStr">
        <is>
          <t>⚫ Low Priority</t>
        </is>
      </c>
      <c r="C100" s="28" t="inlineStr">
        <is>
          <t>x</t>
        </is>
      </c>
      <c r="D100" s="29" t="inlineStr">
        <is>
          <t>HE18, HE17, HE16</t>
        </is>
      </c>
      <c r="E100" s="28" t="inlineStr">
        <is>
          <t>Haven't seen any congestion here since July 2025</t>
        </is>
      </c>
      <c r="F100" s="29" t="inlineStr">
        <is>
          <t>Catarina (10.1%)</t>
        </is>
      </c>
      <c r="G100" s="30" t="n">
        <v>0.10133</v>
      </c>
      <c r="H100" s="32" t="n">
        <v>50.665</v>
      </c>
      <c r="I100" s="33" t="n">
        <v>101.33</v>
      </c>
      <c r="J100" s="33" t="n">
        <v>202.66</v>
      </c>
      <c r="K100" s="28" t="inlineStr">
        <is>
          <t>Hamilton (-32.3%)
Russek (-4.2%)
Holcomb (+4.1%)</t>
        </is>
      </c>
      <c r="L100" s="28" t="n"/>
      <c r="M100" s="34" t="n"/>
    </row>
    <row r="101" ht="30" customHeight="1" s="111">
      <c r="A101" s="26" t="inlineStr">
        <is>
          <t>BANDER-MASOCR 138KV</t>
        </is>
      </c>
      <c r="B101" s="27" t="inlineStr">
        <is>
          <t>⚫ Low Priority</t>
        </is>
      </c>
      <c r="C101" s="28" t="inlineStr">
        <is>
          <t>outage</t>
        </is>
      </c>
      <c r="D101" s="29" t="inlineStr">
        <is>
          <t>HE16, HE19, HE18</t>
        </is>
      </c>
      <c r="E101" s="28" t="inlineStr">
        <is>
          <t>all outage driven.</t>
        </is>
      </c>
      <c r="F101" s="29" t="inlineStr">
        <is>
          <t>—</t>
        </is>
      </c>
      <c r="G101" s="29" t="n"/>
      <c r="H101" s="29" t="n"/>
      <c r="I101" s="29" t="n"/>
      <c r="J101" s="29" t="n"/>
      <c r="K101" s="28" t="inlineStr">
        <is>
          <t>Junction (-8.0%)</t>
        </is>
      </c>
      <c r="L101" s="28" t="n"/>
      <c r="M101" s="34" t="n"/>
    </row>
    <row r="102" ht="30" customHeight="1" s="111">
      <c r="A102" s="26" t="inlineStr">
        <is>
          <t>CNRSW 345KV</t>
        </is>
      </c>
      <c r="B102" s="27" t="inlineStr">
        <is>
          <t>⚫ Low Priority</t>
        </is>
      </c>
      <c r="C102" s="28" t="inlineStr">
        <is>
          <t>Fall 25</t>
        </is>
      </c>
      <c r="D102" s="29" t="inlineStr">
        <is>
          <t>HE15, HE14, HE16</t>
        </is>
      </c>
      <c r="E102" s="28" t="inlineStr">
        <is>
          <t>We see this pricing with extremely low NTX wind generation, especially when it hits that 200mw number. Only seen max shadow price of $250 so not much of an impact.</t>
        </is>
      </c>
      <c r="F102" s="29" t="inlineStr">
        <is>
          <t>—</t>
        </is>
      </c>
      <c r="G102" s="29" t="n"/>
      <c r="H102" s="29" t="n"/>
      <c r="I102" s="29" t="n"/>
      <c r="J102" s="29" t="n"/>
      <c r="K102" s="28" t="inlineStr">
        <is>
          <t>Diboll (-14.1%)</t>
        </is>
      </c>
      <c r="L102" s="28" t="n"/>
      <c r="M102" s="34" t="n"/>
    </row>
    <row r="103" ht="30" customHeight="1" s="111">
      <c r="A103" s="26" t="inlineStr">
        <is>
          <t>EINSTEIN-CRTRVLLE 138KV</t>
        </is>
      </c>
      <c r="B103" s="27" t="inlineStr">
        <is>
          <t>⚫ Low Priority</t>
        </is>
      </c>
      <c r="C103" s="28" t="inlineStr">
        <is>
          <t>x</t>
        </is>
      </c>
      <c r="D103" s="29" t="inlineStr">
        <is>
          <t>HE8, HE7, HE9</t>
        </is>
      </c>
      <c r="E103" s="28" t="inlineStr">
        <is>
          <t>Delete this one. Too small shift factor and only $40 mcc for Judkins at max shadow pricing</t>
        </is>
      </c>
      <c r="F103" s="29" t="inlineStr">
        <is>
          <t>Judkins (4.8%)</t>
        </is>
      </c>
      <c r="G103" s="30" t="n">
        <v>0.04849</v>
      </c>
      <c r="H103" s="31" t="n">
        <v>24.245</v>
      </c>
      <c r="I103" s="31" t="n">
        <v>48.49</v>
      </c>
      <c r="J103" s="32" t="n">
        <v>96.98</v>
      </c>
      <c r="K103" s="28" t="inlineStr">
        <is>
          <t>Saddleback (+3.8%)</t>
        </is>
      </c>
      <c r="L103" s="28" t="n"/>
      <c r="M103" s="34" t="n"/>
    </row>
    <row r="104">
      <c r="A104" s="99" t="inlineStr">
        <is>
          <t xml:space="preserve">🆕  NEW </t>
        </is>
      </c>
      <c r="B104" s="99" t="n"/>
      <c r="C104" s="99" t="n"/>
      <c r="D104" s="99" t="n"/>
      <c r="E104" s="99" t="n"/>
      <c r="F104" s="99" t="n"/>
      <c r="G104" s="99" t="n"/>
      <c r="H104" s="99" t="n"/>
      <c r="I104" s="99" t="n"/>
      <c r="J104" s="99" t="n"/>
      <c r="K104" s="99" t="n"/>
      <c r="L104" s="99" t="n"/>
      <c r="M104" s="99" t="n"/>
    </row>
    <row r="105" ht="25.5" customHeight="1" s="111">
      <c r="A105" s="100" t="inlineStr">
        <is>
          <t>PEARSALL-POTEETS 69KV</t>
        </is>
      </c>
      <c r="B105" s="100" t="inlineStr">
        <is>
          <t>🆕 New</t>
        </is>
      </c>
      <c r="C105" s="100" t="inlineStr">
        <is>
          <t>Summer</t>
        </is>
      </c>
      <c r="D105" s="100" t="inlineStr">
        <is>
          <t>HE17, HE18, HE16</t>
        </is>
      </c>
      <c r="E105" s="100" t="n"/>
      <c r="F105" s="101" t="inlineStr">
        <is>
          <t>Poteet (39.1%)</t>
        </is>
      </c>
      <c r="G105" s="102" t="n">
        <v>0.39103</v>
      </c>
      <c r="H105" s="103" t="n">
        <v>195.515</v>
      </c>
      <c r="I105" s="103" t="n">
        <v>391.03</v>
      </c>
      <c r="J105" s="103" t="n">
        <v>782.0599999999999</v>
      </c>
      <c r="K105" s="101" t="inlineStr">
        <is>
          <t>None significant (&lt;2%)</t>
        </is>
      </c>
      <c r="L105" s="100" t="n"/>
      <c r="M105" s="100" t="n"/>
    </row>
    <row r="106" ht="25.5" customHeight="1" s="111">
      <c r="A106" s="100" t="inlineStr">
        <is>
          <t>BCPSW-AZLES 138KV</t>
        </is>
      </c>
      <c r="B106" s="100" t="inlineStr">
        <is>
          <t>🆕 New</t>
        </is>
      </c>
      <c r="C106" s="100" t="n"/>
      <c r="D106" s="100" t="inlineStr">
        <is>
          <t>HE18, HE19, HE17</t>
        </is>
      </c>
      <c r="E106" s="100" t="n"/>
      <c r="F106" s="101" t="inlineStr">
        <is>
          <t>Mineral Wells (22.5%)</t>
        </is>
      </c>
      <c r="G106" s="104" t="n">
        <v>0.225</v>
      </c>
      <c r="H106" s="103" t="n">
        <v>195.515</v>
      </c>
      <c r="I106" s="103" t="n">
        <v>225</v>
      </c>
      <c r="J106" s="103" t="n">
        <v>450</v>
      </c>
      <c r="K106" s="101" t="inlineStr">
        <is>
          <t>Olney (+4.0%)
Cisco (+3.0%)</t>
        </is>
      </c>
      <c r="L106" s="100" t="n"/>
      <c r="M106" s="100" t="n"/>
    </row>
    <row r="107" ht="89.25" customHeight="1" s="111">
      <c r="A107" s="100" t="inlineStr">
        <is>
          <t>MV_BHBRG4-MV_WESL$ 138kV</t>
        </is>
      </c>
      <c r="B107" s="100" t="inlineStr">
        <is>
          <t>New</t>
        </is>
      </c>
      <c r="C107" s="100" t="inlineStr">
        <is>
          <t>Summer</t>
        </is>
      </c>
      <c r="D107" s="100" t="inlineStr">
        <is>
          <t>HE 16-19</t>
        </is>
      </c>
      <c r="E107" s="100" t="inlineStr">
        <is>
          <t xml:space="preserve">Long term: South wind is the main source of this congestion but it really just shows up with high demand in the summer (18 + of STX load) and will stick around all summer. The time window is all that really needs to be considered. This congestion really started up in May. </t>
        </is>
      </c>
      <c r="F107" s="101" t="inlineStr">
        <is>
          <t>Val Verde (15%)</t>
        </is>
      </c>
      <c r="G107" s="104" t="n">
        <v>0.15</v>
      </c>
      <c r="H107" s="103" t="n"/>
      <c r="I107" s="103" t="n"/>
      <c r="J107" s="103" t="n"/>
      <c r="K107" s="101" t="inlineStr">
        <is>
          <t>Falfurrias (3%) Holcomb (1%)</t>
        </is>
      </c>
      <c r="L107" s="100" t="inlineStr">
        <is>
          <t>Hold if south wind is increasing and congestion shows up earlier than designated time window but most of time it's a rip it when you see it. Rip before it falls off. HE16-19 strongest shadow prices. Rip it before HE20</t>
        </is>
      </c>
      <c r="M107" s="100" t="inlineStr">
        <is>
          <t>Always drops out before HE20!! Outage from AJO_REFORZ21_LN also is main cause. This congestion binds 50% of the time when south load reaches 22GW+ and seasonally starts when south loads start reaching 18GW. South wind also major contributor</t>
        </is>
      </c>
    </row>
    <row r="108" ht="51" customHeight="1" s="111">
      <c r="A108" s="100" t="inlineStr">
        <is>
          <t>POTEET-OAKS 69kV</t>
        </is>
      </c>
      <c r="B108" s="100" t="inlineStr">
        <is>
          <t>New</t>
        </is>
      </c>
      <c r="C108" s="100" t="inlineStr">
        <is>
          <t>Summer</t>
        </is>
      </c>
      <c r="D108" s="100" t="inlineStr">
        <is>
          <t>HE16-19</t>
        </is>
      </c>
      <c r="E108" s="100" t="inlineStr">
        <is>
          <t>GR_Coastal above ~1,900-2,000 MW AND SCEN (south central) load above 14,000 MW, in the 14:00-19:00 window.</t>
        </is>
      </c>
      <c r="F108" s="101" t="inlineStr">
        <is>
          <t>Poteet (-44%)</t>
        </is>
      </c>
      <c r="G108" s="104" t="n">
        <v>-0.44</v>
      </c>
      <c r="H108" s="103" t="n"/>
      <c r="I108" s="103" t="n"/>
      <c r="J108" s="103" t="n"/>
      <c r="K108" s="101" t="n"/>
      <c r="L108" s="100" t="inlineStr">
        <is>
          <t>Hold if south wind is increasing. Rip before solar falls out. Hold charge room if we're expecting congestion</t>
        </is>
      </c>
      <c r="M108" s="100" t="inlineStr">
        <is>
          <t xml:space="preserve">Also need DEVINE-BIGFOOT in outage for this congestion. Window can be from 2pm-7pm. Best thresehold I have is 800MW of south wind and 14GW of south central weatherzone load. </t>
        </is>
      </c>
    </row>
    <row r="109" ht="38.25" customHeight="1" s="111">
      <c r="A109" s="105" t="inlineStr">
        <is>
          <t>ORNGROV-ORNGROV</t>
        </is>
      </c>
      <c r="B109" s="105" t="inlineStr">
        <is>
          <t>New</t>
        </is>
      </c>
      <c r="C109" s="100" t="inlineStr">
        <is>
          <t>Summer</t>
        </is>
      </c>
      <c r="D109" s="105" t="inlineStr">
        <is>
          <t>HE16-19</t>
        </is>
      </c>
      <c r="E109" s="105" t="inlineStr">
        <is>
          <t>This congestion also stems from STX wind generation. Don't know where the wind gen is coming from exactly (some local wind farm) but when you see this congestion pop up, know it is from the stx wind output</t>
        </is>
      </c>
      <c r="F109" s="106" t="inlineStr">
        <is>
          <t>Tynan (17%)</t>
        </is>
      </c>
      <c r="G109" s="107" t="n">
        <v>0.17</v>
      </c>
      <c r="L109" s="100" t="inlineStr">
        <is>
          <t>Rip it when you see it</t>
        </is>
      </c>
    </row>
    <row r="110" ht="51" customHeight="1" s="111">
      <c r="A110" s="105" t="inlineStr">
        <is>
          <t>ORNGROV-SNDIEGS 69kV</t>
        </is>
      </c>
      <c r="B110" s="105" t="inlineStr">
        <is>
          <t>NEW</t>
        </is>
      </c>
      <c r="C110" s="105" t="inlineStr">
        <is>
          <t>outage driven</t>
        </is>
      </c>
      <c r="D110" s="105" t="inlineStr">
        <is>
          <t>HE14-16</t>
        </is>
      </c>
      <c r="E110" s="105" t="inlineStr">
        <is>
          <t>This congestion is driven by a line outage from ALICE_KINGSV. Rip falfurrias when you see this congestion and tynan will see a charge window. The ALICE_KINGSV line normally goes into outage in the morning, then comes back online. Just have to check outage scheduler to see when the line is coming back online.</t>
        </is>
      </c>
      <c r="F110" s="106" t="inlineStr">
        <is>
          <t>Fafurrias (5%) Tynan (-5%)</t>
        </is>
      </c>
      <c r="L110" s="108" t="inlineStr">
        <is>
          <t>Rip Falfurrias when it pops up</t>
        </is>
      </c>
      <c r="M110" s="100" t="inlineStr">
        <is>
          <t xml:space="preserve">Main drivers with the outage for this congestion is seeing south wind go below 300MW during the solar window. </t>
        </is>
      </c>
    </row>
    <row r="111" ht="38.25" customHeight="1" s="111">
      <c r="A111" s="105" t="inlineStr">
        <is>
          <t>BLESSING-PAVLOV</t>
        </is>
      </c>
      <c r="C111" s="105" t="inlineStr">
        <is>
          <t>Outage</t>
        </is>
      </c>
      <c r="D111" s="105" t="inlineStr">
        <is>
          <t>All hours</t>
        </is>
      </c>
      <c r="E111" s="105" t="inlineStr">
        <is>
          <t>Really have only seen this congestion when there is local line work. Flows increase onto this line but seems pretty random as to when the congestion will pop up. Once you see it pop up, all you can really track is outages</t>
        </is>
      </c>
      <c r="F111" s="106" t="inlineStr">
        <is>
          <t>Pavlov (68%)</t>
        </is>
      </c>
      <c r="G111" s="104" t="n">
        <v>0.68</v>
      </c>
      <c r="H111" s="103">
        <f>G111*500</f>
        <v>340</v>
      </c>
      <c r="I111" s="103">
        <f>G111*1000</f>
        <v>680</v>
      </c>
      <c r="J111" s="103">
        <f>G111*2000</f>
        <v>1360</v>
      </c>
      <c r="K111" s="104" t="n"/>
      <c r="L111" s="100" t="inlineStr">
        <is>
          <t xml:space="preserve">I would rip it when you see it. Hard to tell if it sticks around for the day or not. </t>
        </is>
      </c>
      <c r="M111" s="100" t="inlineStr">
        <is>
          <t>Max price we've really seen is about $850</t>
        </is>
      </c>
    </row>
  </sheetData>
  <autoFilter ref="A3:M3"/>
  <mergeCells count="4">
    <mergeCell ref="A1:O1"/>
    <mergeCell ref="A4:O4"/>
    <mergeCell ref="A2:O2"/>
    <mergeCell ref="A21:O2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7B1FA2"/>
    <outlinePr summaryBelow="1" summaryRight="1"/>
    <pageSetUpPr/>
  </sheetPr>
  <dimension ref="A1:Q63"/>
  <sheetViews>
    <sheetView zoomScaleNormal="100" workbookViewId="0">
      <pane xSplit="1" ySplit="6" topLeftCell="B13" activePane="bottomRight" state="frozen"/>
      <selection pane="topRight" activeCell="B1" sqref="B1"/>
      <selection pane="bottomLeft" activeCell="A7" sqref="A7"/>
      <selection pane="bottomRight" activeCell="D5" sqref="D5"/>
    </sheetView>
  </sheetViews>
  <sheetFormatPr baseColWidth="8" defaultColWidth="8.7109375" defaultRowHeight="15"/>
  <cols>
    <col width="30" customWidth="1" style="111" min="1" max="1"/>
    <col width="10" customWidth="1" style="111" min="2" max="2"/>
    <col width="14" customWidth="1" style="111" min="3" max="3"/>
    <col width="10" customWidth="1" style="111" min="4" max="17"/>
  </cols>
  <sheetData>
    <row r="1" ht="31.5" customHeight="1" s="111">
      <c r="A1" s="112" t="inlineStr">
        <is>
          <t>REAL-TIME MCC CALCULATOR — Shadow Price × Shift Factor = MCC at Node</t>
        </is>
      </c>
    </row>
    <row r="2" ht="21.75" customHeight="1" s="111">
      <c r="A2" s="118" t="inlineStr">
        <is>
          <t>Enter the real-time shadow price ($/MWh) you see for a line → MCC at each site auto-calculates = SF × Shadow Price</t>
        </is>
      </c>
    </row>
    <row r="4" ht="27.75" customHeight="1" s="111">
      <c r="A4" s="117" t="inlineStr">
        <is>
          <t>ENTER SHADOW PRICE ($/MWh):</t>
        </is>
      </c>
      <c r="D4" s="35" t="n">
        <v>197</v>
      </c>
      <c r="E4" s="116" t="inlineStr">
        <is>
          <t>← Change this value to see real-time MCC impact at each site</t>
        </is>
      </c>
    </row>
    <row r="6" ht="31.5" customHeight="1" s="111">
      <c r="A6" s="7" t="inlineStr">
        <is>
          <t>Line / Constraint</t>
        </is>
      </c>
      <c r="B6" s="7" t="inlineStr">
        <is>
          <t>Priority</t>
        </is>
      </c>
      <c r="C6" s="7" t="inlineStr">
        <is>
          <t>Prim. Node</t>
        </is>
      </c>
      <c r="D6" s="7" t="inlineStr">
        <is>
          <t>SF (%)</t>
        </is>
      </c>
      <c r="E6" s="7" t="inlineStr">
        <is>
          <t>Russek</t>
        </is>
      </c>
      <c r="F6" s="7" t="inlineStr">
        <is>
          <t>Catarina</t>
        </is>
      </c>
      <c r="G6" s="7" t="inlineStr">
        <is>
          <t>Holcomb</t>
        </is>
      </c>
      <c r="H6" s="7" t="inlineStr">
        <is>
          <t>Hamilton</t>
        </is>
      </c>
      <c r="I6" s="7" t="inlineStr">
        <is>
          <t>Fort Duncan</t>
        </is>
      </c>
      <c r="J6" s="7" t="inlineStr">
        <is>
          <t>Junction</t>
        </is>
      </c>
      <c r="K6" s="7" t="inlineStr">
        <is>
          <t>Judkins</t>
        </is>
      </c>
      <c r="L6" s="7" t="inlineStr">
        <is>
          <t>Saddleback</t>
        </is>
      </c>
      <c r="M6" s="7" t="inlineStr">
        <is>
          <t>Val Verde</t>
        </is>
      </c>
      <c r="N6" s="7" t="inlineStr">
        <is>
          <t>Mainland</t>
        </is>
      </c>
      <c r="O6" s="7" t="inlineStr">
        <is>
          <t>Cisco</t>
        </is>
      </c>
      <c r="P6" s="7" t="inlineStr">
        <is>
          <t>Diboll</t>
        </is>
      </c>
      <c r="Q6" s="7" t="inlineStr">
        <is>
          <t>Olney</t>
        </is>
      </c>
    </row>
    <row r="7" ht="21.75" customHeight="1" s="111">
      <c r="A7" s="36" t="inlineStr">
        <is>
          <t>TWINBU-HARGROVE 138KV</t>
        </is>
      </c>
      <c r="B7" s="37" t="inlineStr">
        <is>
          <t>🟢 Active</t>
        </is>
      </c>
      <c r="C7" s="38" t="inlineStr">
        <is>
          <t>Russek (31.7%)</t>
        </is>
      </c>
      <c r="D7" s="39" t="n">
        <v>0.31665</v>
      </c>
      <c r="E7" s="40">
        <f>$D4*0.31665</f>
        <v>62.38005</v>
      </c>
      <c r="F7" s="41" t="inlineStr">
        <is>
          <t>—</t>
        </is>
      </c>
      <c r="G7" s="41" t="inlineStr">
        <is>
          <t>—</t>
        </is>
      </c>
      <c r="H7" s="42">
        <f>$D4*0.0679</f>
        <v>13.3763</v>
      </c>
      <c r="I7" s="42">
        <f>$D4*0.04386</f>
        <v>8.64042</v>
      </c>
      <c r="J7" s="41" t="inlineStr">
        <is>
          <t>—</t>
        </is>
      </c>
      <c r="K7" s="42">
        <f>$D4*0.01781</f>
        <v>3.5085699999999997</v>
      </c>
      <c r="L7" s="42">
        <f>$D4*0.02485</f>
        <v>4.89545</v>
      </c>
      <c r="M7" s="41" t="inlineStr">
        <is>
          <t>—</t>
        </is>
      </c>
      <c r="N7" s="41" t="inlineStr">
        <is>
          <t>—</t>
        </is>
      </c>
      <c r="O7" s="41" t="inlineStr">
        <is>
          <t>—</t>
        </is>
      </c>
      <c r="P7" s="41" t="inlineStr">
        <is>
          <t>—</t>
        </is>
      </c>
      <c r="Q7" s="41" t="inlineStr">
        <is>
          <t>—</t>
        </is>
      </c>
    </row>
    <row r="8" ht="21.75" customHeight="1" s="111">
      <c r="A8" s="36" t="inlineStr">
        <is>
          <t>LARDVNTH-LASCRUCE 138KV</t>
        </is>
      </c>
      <c r="B8" s="37" t="inlineStr">
        <is>
          <t>🟢 Active</t>
        </is>
      </c>
      <c r="C8" s="38" t="inlineStr">
        <is>
          <t>Holcomb (29.7%)</t>
        </is>
      </c>
      <c r="D8" s="39" t="n">
        <v>0.29736</v>
      </c>
      <c r="E8" s="42">
        <f>$D4*0.01</f>
        <v>1.97</v>
      </c>
      <c r="F8" s="40">
        <f>$D4*0.17885</f>
        <v>35.233450000000005</v>
      </c>
      <c r="G8" s="40">
        <f>$D4*0.29736</f>
        <v>58.57992</v>
      </c>
      <c r="H8" s="42">
        <f>$D4*0.06158</f>
        <v>12.131260000000001</v>
      </c>
      <c r="I8" s="41" t="inlineStr">
        <is>
          <t>—</t>
        </is>
      </c>
      <c r="J8" s="41" t="inlineStr">
        <is>
          <t>—</t>
        </is>
      </c>
      <c r="K8" s="41" t="inlineStr">
        <is>
          <t>—</t>
        </is>
      </c>
      <c r="L8" s="41" t="inlineStr">
        <is>
          <t>—</t>
        </is>
      </c>
      <c r="M8" s="43">
        <f>$D4*-0.079</f>
        <v>-15.563</v>
      </c>
      <c r="N8" s="41" t="inlineStr">
        <is>
          <t>—</t>
        </is>
      </c>
      <c r="O8" s="41" t="inlineStr">
        <is>
          <t>—</t>
        </is>
      </c>
      <c r="P8" s="41" t="inlineStr">
        <is>
          <t>—</t>
        </is>
      </c>
      <c r="Q8" s="41" t="inlineStr">
        <is>
          <t>—</t>
        </is>
      </c>
    </row>
    <row r="9" ht="21.75" customHeight="1" s="111">
      <c r="A9" s="36" t="inlineStr">
        <is>
          <t>FORTMA-YELWJCKT 138KV</t>
        </is>
      </c>
      <c r="B9" s="37" t="inlineStr">
        <is>
          <t>🟢 Active</t>
        </is>
      </c>
      <c r="C9" s="38" t="inlineStr">
        <is>
          <t>Junction (50.0%)</t>
        </is>
      </c>
      <c r="D9" s="39" t="n">
        <v>0.5</v>
      </c>
      <c r="E9" s="42">
        <f>$D4*0.032</f>
        <v>6.304</v>
      </c>
      <c r="F9" s="41" t="inlineStr">
        <is>
          <t>—</t>
        </is>
      </c>
      <c r="G9" s="41" t="inlineStr">
        <is>
          <t>—</t>
        </is>
      </c>
      <c r="H9" s="41" t="inlineStr">
        <is>
          <t>—</t>
        </is>
      </c>
      <c r="I9" s="41" t="inlineStr">
        <is>
          <t>—</t>
        </is>
      </c>
      <c r="J9" s="40">
        <f>$D4*0.5</f>
        <v>98.5</v>
      </c>
      <c r="K9" s="42">
        <f>$D4*0.02</f>
        <v>3.94</v>
      </c>
      <c r="L9" s="42">
        <f>$D4*0.02</f>
        <v>3.94</v>
      </c>
      <c r="M9" s="41" t="inlineStr">
        <is>
          <t>—</t>
        </is>
      </c>
      <c r="N9" s="41" t="inlineStr">
        <is>
          <t>—</t>
        </is>
      </c>
      <c r="O9" s="41" t="inlineStr">
        <is>
          <t>—</t>
        </is>
      </c>
      <c r="P9" s="41" t="inlineStr">
        <is>
          <t>—</t>
        </is>
      </c>
      <c r="Q9" s="41" t="inlineStr">
        <is>
          <t>—</t>
        </is>
      </c>
    </row>
    <row r="10" ht="21.75" customHeight="1" s="111">
      <c r="A10" s="36" t="inlineStr">
        <is>
          <t>STP-ELMCREEK 345KV</t>
        </is>
      </c>
      <c r="B10" s="37" t="inlineStr">
        <is>
          <t>🟢 Active</t>
        </is>
      </c>
      <c r="C10" s="38" t="inlineStr">
        <is>
          <t>Catarina (8.0%)</t>
        </is>
      </c>
      <c r="D10" s="39" t="n">
        <v>0.08</v>
      </c>
      <c r="E10" s="42">
        <f>$D4*0.042</f>
        <v>8.274000000000001</v>
      </c>
      <c r="F10" s="42">
        <f>$D4*0.08</f>
        <v>15.76</v>
      </c>
      <c r="G10" s="42">
        <f>$D4*0.079</f>
        <v>15.563</v>
      </c>
      <c r="H10" s="42">
        <f>$D4*0.067</f>
        <v>13.199000000000002</v>
      </c>
      <c r="I10" s="42">
        <f>$D4*0.075</f>
        <v>14.774999999999999</v>
      </c>
      <c r="J10" s="42">
        <f>$D4*0.058</f>
        <v>11.426</v>
      </c>
      <c r="K10" s="42">
        <f>$D4*0.037</f>
        <v>7.289</v>
      </c>
      <c r="L10" s="42">
        <f>$D4*0.039</f>
        <v>7.683</v>
      </c>
      <c r="M10" s="42">
        <f>$D4*0.052</f>
        <v>10.244</v>
      </c>
      <c r="N10" s="43">
        <f>$D4*-0.09</f>
        <v>-17.73</v>
      </c>
      <c r="O10" s="42">
        <f>$D4*0.023</f>
        <v>4.531</v>
      </c>
      <c r="P10" s="41" t="inlineStr">
        <is>
          <t>—</t>
        </is>
      </c>
      <c r="Q10" s="42">
        <f>$D4*0.02</f>
        <v>3.94</v>
      </c>
    </row>
    <row r="11" ht="21.75" customHeight="1" s="111">
      <c r="A11" s="36" t="inlineStr">
        <is>
          <t>TREADWEL-YELWJCKT 138KV</t>
        </is>
      </c>
      <c r="B11" s="37" t="inlineStr">
        <is>
          <t>🟢 Active</t>
        </is>
      </c>
      <c r="C11" s="38" t="inlineStr">
        <is>
          <t>Junction (46.8%)</t>
        </is>
      </c>
      <c r="D11" s="39" t="n">
        <v>0.46755</v>
      </c>
      <c r="E11" s="41" t="inlineStr">
        <is>
          <t>—</t>
        </is>
      </c>
      <c r="F11" s="42">
        <f>$D4*0.015</f>
        <v>2.955</v>
      </c>
      <c r="G11" s="42">
        <f>$D4*0.015</f>
        <v>2.955</v>
      </c>
      <c r="H11" s="41" t="inlineStr">
        <is>
          <t>—</t>
        </is>
      </c>
      <c r="I11" s="41" t="inlineStr">
        <is>
          <t>—</t>
        </is>
      </c>
      <c r="J11" s="40">
        <f>$D4*0.46755</f>
        <v>92.10735000000001</v>
      </c>
      <c r="K11" s="41" t="inlineStr">
        <is>
          <t>—</t>
        </is>
      </c>
      <c r="L11" s="41" t="inlineStr">
        <is>
          <t>—</t>
        </is>
      </c>
      <c r="M11" s="42">
        <f>$D4*0.015</f>
        <v>2.955</v>
      </c>
      <c r="N11" s="41" t="inlineStr">
        <is>
          <t>—</t>
        </is>
      </c>
      <c r="O11" s="41" t="inlineStr">
        <is>
          <t>—</t>
        </is>
      </c>
      <c r="P11" s="41" t="inlineStr">
        <is>
          <t>—</t>
        </is>
      </c>
      <c r="Q11" s="41" t="inlineStr">
        <is>
          <t>—</t>
        </is>
      </c>
    </row>
    <row r="12" ht="21.75" customHeight="1" s="111">
      <c r="A12" s="36" t="inlineStr">
        <is>
          <t>LASCRUCE-MILO 138KV</t>
        </is>
      </c>
      <c r="B12" s="37" t="inlineStr">
        <is>
          <t>🟢 Active</t>
        </is>
      </c>
      <c r="C12" s="38" t="inlineStr">
        <is>
          <t>Holcomb (28.0%)</t>
        </is>
      </c>
      <c r="D12" s="39" t="n">
        <v>0.28025</v>
      </c>
      <c r="E12" s="41" t="inlineStr">
        <is>
          <t>—</t>
        </is>
      </c>
      <c r="F12" s="40">
        <f>$D4*0.17261</f>
        <v>34.00417</v>
      </c>
      <c r="G12" s="40">
        <f>$D4*0.28025</f>
        <v>55.20925</v>
      </c>
      <c r="H12" s="42">
        <f>$D4*0.07</f>
        <v>13.790000000000001</v>
      </c>
      <c r="I12" s="42">
        <f>$D4*0.09648</f>
        <v>19.00656</v>
      </c>
      <c r="J12" s="41" t="inlineStr">
        <is>
          <t>—</t>
        </is>
      </c>
      <c r="K12" s="41" t="inlineStr">
        <is>
          <t>—</t>
        </is>
      </c>
      <c r="L12" s="41" t="inlineStr">
        <is>
          <t>—</t>
        </is>
      </c>
      <c r="M12" s="43">
        <f>$D4*-0.08</f>
        <v>-15.76</v>
      </c>
      <c r="N12" s="41" t="inlineStr">
        <is>
          <t>—</t>
        </is>
      </c>
      <c r="O12" s="41" t="inlineStr">
        <is>
          <t>—</t>
        </is>
      </c>
      <c r="P12" s="41" t="inlineStr">
        <is>
          <t>—</t>
        </is>
      </c>
      <c r="Q12" s="41" t="inlineStr">
        <is>
          <t>—</t>
        </is>
      </c>
    </row>
    <row r="13" ht="21.75" customHeight="1" s="111">
      <c r="A13" s="36" t="inlineStr">
        <is>
          <t>WESTEX</t>
        </is>
      </c>
      <c r="B13" s="37" t="inlineStr">
        <is>
          <t>🟢 Active</t>
        </is>
      </c>
      <c r="C13" s="38" t="inlineStr">
        <is>
          <t>Diboll (19.4%)</t>
        </is>
      </c>
      <c r="D13" s="39" t="n">
        <v>0.19396</v>
      </c>
      <c r="E13" s="43">
        <f>$D4*-0.66</f>
        <v>-130.02</v>
      </c>
      <c r="F13" s="42">
        <f>$D4*0.07514</f>
        <v>14.802579999999999</v>
      </c>
      <c r="G13" s="42">
        <f>$D4*0.13067</f>
        <v>25.74199</v>
      </c>
      <c r="H13" s="43">
        <f>$D4*-0.23</f>
        <v>-45.31</v>
      </c>
      <c r="I13" s="43">
        <f>$D4*-0.07</f>
        <v>-13.790000000000001</v>
      </c>
      <c r="J13" s="43">
        <f>$D4*-0.3</f>
        <v>-59.099999999999994</v>
      </c>
      <c r="K13" s="43">
        <f>$D4*-0.718</f>
        <v>-141.446</v>
      </c>
      <c r="L13" s="43">
        <f>$D4*-0.716</f>
        <v>-141.052</v>
      </c>
      <c r="M13" s="40">
        <f>$D4*0.15332</f>
        <v>30.204040000000003</v>
      </c>
      <c r="N13" s="40">
        <f>$D4*0.17937</f>
        <v>35.33589</v>
      </c>
      <c r="O13" s="43">
        <f>$D4*-0.513</f>
        <v>-101.061</v>
      </c>
      <c r="P13" s="40">
        <f>$D4*0.19396</f>
        <v>38.210119999999996</v>
      </c>
      <c r="Q13" s="43">
        <f>$D4*-0.558</f>
        <v>-109.92600000000002</v>
      </c>
    </row>
    <row r="14" ht="21.75" customHeight="1" s="111">
      <c r="A14" s="36" t="inlineStr">
        <is>
          <t>LNGSW-PRLSW 345KV</t>
        </is>
      </c>
      <c r="B14" s="37" t="inlineStr">
        <is>
          <t>🟢 Active</t>
        </is>
      </c>
      <c r="C14" s="38" t="inlineStr">
        <is>
          <t>Judkins (21.3%)</t>
        </is>
      </c>
      <c r="D14" s="39" t="n">
        <v>0.21329</v>
      </c>
      <c r="E14" s="42">
        <f>$D4*0.07</f>
        <v>13.790000000000001</v>
      </c>
      <c r="F14" s="43">
        <f>$D4*-0.02</f>
        <v>-3.94</v>
      </c>
      <c r="G14" s="43">
        <f>$D4*-0.02</f>
        <v>-3.94</v>
      </c>
      <c r="H14" s="42">
        <f>$D4*0.02</f>
        <v>3.94</v>
      </c>
      <c r="I14" s="42">
        <f>$D4*0.02</f>
        <v>3.94</v>
      </c>
      <c r="J14" s="43">
        <f>$D4*-0.02</f>
        <v>-3.94</v>
      </c>
      <c r="K14" s="40">
        <f>$D4*0.21329</f>
        <v>42.01813</v>
      </c>
      <c r="L14" s="40">
        <f>$D4*0.20412</f>
        <v>40.21164</v>
      </c>
      <c r="M14" s="43">
        <f>$D4*-0.02</f>
        <v>-3.94</v>
      </c>
      <c r="N14" s="43">
        <f>$D4*-0.02</f>
        <v>-3.94</v>
      </c>
      <c r="O14" s="43">
        <f>$D4*-0.02</f>
        <v>-3.94</v>
      </c>
      <c r="P14" s="43">
        <f>$D4*-0.02</f>
        <v>-3.94</v>
      </c>
      <c r="Q14" s="43">
        <f>$D4*-0.02</f>
        <v>-3.94</v>
      </c>
    </row>
    <row r="15" ht="21.75" customHeight="1" s="111">
      <c r="A15" s="36" t="inlineStr">
        <is>
          <t>E_PASP</t>
        </is>
      </c>
      <c r="B15" s="37" t="inlineStr">
        <is>
          <t>🟢 Active</t>
        </is>
      </c>
      <c r="C15" s="38" t="inlineStr">
        <is>
          <t>Junction (4.0%)</t>
        </is>
      </c>
      <c r="D15" s="39" t="n">
        <v>0.04</v>
      </c>
      <c r="E15" s="41" t="inlineStr">
        <is>
          <t>—</t>
        </is>
      </c>
      <c r="F15" s="43">
        <f>$D4*-0.08556</f>
        <v>-16.85532</v>
      </c>
      <c r="G15" s="43">
        <f>$D4*-0.13778</f>
        <v>-27.142660000000003</v>
      </c>
      <c r="H15" s="41" t="inlineStr">
        <is>
          <t>—</t>
        </is>
      </c>
      <c r="I15" s="41" t="inlineStr">
        <is>
          <t>—</t>
        </is>
      </c>
      <c r="J15" s="42">
        <f>$D4*0.04</f>
        <v>7.88</v>
      </c>
      <c r="K15" s="41" t="inlineStr">
        <is>
          <t>—</t>
        </is>
      </c>
      <c r="L15" s="41" t="inlineStr">
        <is>
          <t>—</t>
        </is>
      </c>
      <c r="M15" s="43">
        <f>$D4*-0.19625</f>
        <v>-38.66125</v>
      </c>
      <c r="N15" s="41" t="inlineStr">
        <is>
          <t>—</t>
        </is>
      </c>
      <c r="O15" s="41" t="inlineStr">
        <is>
          <t>—</t>
        </is>
      </c>
      <c r="P15" s="41" t="inlineStr">
        <is>
          <t>—</t>
        </is>
      </c>
      <c r="Q15" s="41" t="inlineStr">
        <is>
          <t>—</t>
        </is>
      </c>
    </row>
    <row r="16" ht="21.75" customHeight="1" s="111">
      <c r="A16" s="36" t="inlineStr">
        <is>
          <t>NLARSW-PILONCIL 138KV</t>
        </is>
      </c>
      <c r="B16" s="37" t="inlineStr">
        <is>
          <t>🟢 Active</t>
        </is>
      </c>
      <c r="C16" s="38" t="inlineStr">
        <is>
          <t>Catarina (26.0%)</t>
        </is>
      </c>
      <c r="D16" s="39" t="n">
        <v>0.26</v>
      </c>
      <c r="E16" s="41" t="inlineStr">
        <is>
          <t>—</t>
        </is>
      </c>
      <c r="F16" s="40">
        <f>$D4*0.26</f>
        <v>51.22</v>
      </c>
      <c r="G16" s="43">
        <f>$D4*-0.09</f>
        <v>-17.73</v>
      </c>
      <c r="H16" s="42">
        <f>$D4*0.08633</f>
        <v>17.00701</v>
      </c>
      <c r="I16" s="42">
        <f>$D4*0.12</f>
        <v>23.64</v>
      </c>
      <c r="J16" s="41" t="inlineStr">
        <is>
          <t>—</t>
        </is>
      </c>
      <c r="K16" s="41" t="inlineStr">
        <is>
          <t>—</t>
        </is>
      </c>
      <c r="L16" s="41" t="inlineStr">
        <is>
          <t>—</t>
        </is>
      </c>
      <c r="M16" s="43">
        <f>$D4*-0.06</f>
        <v>-11.82</v>
      </c>
      <c r="N16" s="41" t="inlineStr">
        <is>
          <t>—</t>
        </is>
      </c>
      <c r="O16" s="41" t="inlineStr">
        <is>
          <t>—</t>
        </is>
      </c>
      <c r="P16" s="41" t="inlineStr">
        <is>
          <t>—</t>
        </is>
      </c>
      <c r="Q16" s="41" t="inlineStr">
        <is>
          <t>—</t>
        </is>
      </c>
    </row>
    <row r="17" ht="21.75" customHeight="1" s="111">
      <c r="A17" s="36" t="inlineStr">
        <is>
          <t>MGSES-CATSW 345KV</t>
        </is>
      </c>
      <c r="B17" s="37" t="inlineStr">
        <is>
          <t>🟢 Active</t>
        </is>
      </c>
      <c r="C17" s="38" t="inlineStr">
        <is>
          <t>Judkins (30.0%)</t>
        </is>
      </c>
      <c r="D17" s="39" t="n">
        <v>0.3</v>
      </c>
      <c r="E17" s="42">
        <f>$D4*0.1</f>
        <v>19.700000000000003</v>
      </c>
      <c r="F17" s="41" t="inlineStr">
        <is>
          <t>—</t>
        </is>
      </c>
      <c r="G17" s="41" t="inlineStr">
        <is>
          <t>—</t>
        </is>
      </c>
      <c r="H17" s="41" t="inlineStr">
        <is>
          <t>—</t>
        </is>
      </c>
      <c r="I17" s="41" t="inlineStr">
        <is>
          <t>—</t>
        </is>
      </c>
      <c r="J17" s="41" t="inlineStr">
        <is>
          <t>—</t>
        </is>
      </c>
      <c r="K17" s="40">
        <f>$D4*0.3</f>
        <v>59.099999999999994</v>
      </c>
      <c r="L17" s="40">
        <f>$D4*0.27037</f>
        <v>53.26289</v>
      </c>
      <c r="M17" s="41" t="inlineStr">
        <is>
          <t>—</t>
        </is>
      </c>
      <c r="N17" s="43">
        <f>$D4*-0.05</f>
        <v>-9.850000000000001</v>
      </c>
      <c r="O17" s="43">
        <f>$D4*-0.08</f>
        <v>-15.76</v>
      </c>
      <c r="P17" s="43">
        <f>$D4*-0.06</f>
        <v>-11.82</v>
      </c>
      <c r="Q17" s="43">
        <f>$D4*-0.07</f>
        <v>-13.790000000000001</v>
      </c>
    </row>
    <row r="18" ht="21.75" customHeight="1" s="111">
      <c r="A18" s="36" t="inlineStr">
        <is>
          <t>LOBO-LARDVNTH 138KV</t>
        </is>
      </c>
      <c r="B18" s="37" t="inlineStr">
        <is>
          <t>🟢 Active</t>
        </is>
      </c>
      <c r="C18" s="38" t="inlineStr">
        <is>
          <t>Holcomb (32.4%)</t>
        </is>
      </c>
      <c r="D18" s="39" t="n">
        <v>0.32386</v>
      </c>
      <c r="E18" s="41" t="inlineStr">
        <is>
          <t>—</t>
        </is>
      </c>
      <c r="F18" s="40">
        <f>$D4*0.21816</f>
        <v>42.97752</v>
      </c>
      <c r="G18" s="40">
        <f>$D4*0.32386</f>
        <v>63.800419999999995</v>
      </c>
      <c r="H18" s="42">
        <f>$D4*0.07</f>
        <v>13.790000000000001</v>
      </c>
      <c r="I18" s="42">
        <f>$D4*0.07</f>
        <v>13.790000000000001</v>
      </c>
      <c r="J18" s="41" t="inlineStr">
        <is>
          <t>—</t>
        </is>
      </c>
      <c r="K18" s="41" t="inlineStr">
        <is>
          <t>—</t>
        </is>
      </c>
      <c r="L18" s="41" t="inlineStr">
        <is>
          <t>—</t>
        </is>
      </c>
      <c r="M18" s="43">
        <f>$D4*-0.07</f>
        <v>-13.790000000000001</v>
      </c>
      <c r="N18" s="41" t="inlineStr">
        <is>
          <t>—</t>
        </is>
      </c>
      <c r="O18" s="41" t="inlineStr">
        <is>
          <t>—</t>
        </is>
      </c>
      <c r="P18" s="41" t="inlineStr">
        <is>
          <t>—</t>
        </is>
      </c>
      <c r="Q18" s="41" t="inlineStr">
        <is>
          <t>—</t>
        </is>
      </c>
    </row>
    <row r="19" ht="21.75" customHeight="1" s="111">
      <c r="A19" s="36" t="inlineStr">
        <is>
          <t>ESCONDID-GANSO 138KV</t>
        </is>
      </c>
      <c r="B19" s="37" t="inlineStr">
        <is>
          <t>🟢 Active</t>
        </is>
      </c>
      <c r="C19" s="38" t="inlineStr">
        <is>
          <t>Hamilton (40.4%)</t>
        </is>
      </c>
      <c r="D19" s="39" t="n">
        <v>0.4035</v>
      </c>
      <c r="E19" s="42">
        <f>$D4*0.05</f>
        <v>9.850000000000001</v>
      </c>
      <c r="F19" s="43">
        <f>$D4*-0.094</f>
        <v>-18.518</v>
      </c>
      <c r="G19" s="43">
        <f>$D4*-0.044</f>
        <v>-8.668</v>
      </c>
      <c r="H19" s="40">
        <f>$D4*0.4035</f>
        <v>79.4895</v>
      </c>
      <c r="I19" s="43">
        <f>$D4*-0.2614</f>
        <v>-51.4958</v>
      </c>
      <c r="J19" s="41" t="inlineStr">
        <is>
          <t>—</t>
        </is>
      </c>
      <c r="K19" s="41" t="inlineStr">
        <is>
          <t>—</t>
        </is>
      </c>
      <c r="L19" s="41" t="inlineStr">
        <is>
          <t>—</t>
        </is>
      </c>
      <c r="M19" s="41" t="inlineStr">
        <is>
          <t>—</t>
        </is>
      </c>
      <c r="N19" s="41" t="inlineStr">
        <is>
          <t>—</t>
        </is>
      </c>
      <c r="O19" s="41" t="inlineStr">
        <is>
          <t>—</t>
        </is>
      </c>
      <c r="P19" s="41" t="inlineStr">
        <is>
          <t>—</t>
        </is>
      </c>
      <c r="Q19" s="41" t="inlineStr">
        <is>
          <t>—</t>
        </is>
      </c>
    </row>
    <row r="20" ht="21.75" customHeight="1" s="111">
      <c r="A20" s="36" t="inlineStr">
        <is>
          <t>BCESW-SNDSW 345KV</t>
        </is>
      </c>
      <c r="B20" s="37" t="inlineStr">
        <is>
          <t>🟢 Active</t>
        </is>
      </c>
      <c r="C20" s="38" t="inlineStr">
        <is>
          <t>Holcomb (11.0%)</t>
        </is>
      </c>
      <c r="D20" s="39" t="n">
        <v>0.11</v>
      </c>
      <c r="E20" s="41" t="inlineStr">
        <is>
          <t>—</t>
        </is>
      </c>
      <c r="F20" s="42">
        <f>$D4*0.1</f>
        <v>19.700000000000003</v>
      </c>
      <c r="G20" s="42">
        <f>$D4*0.11</f>
        <v>21.67</v>
      </c>
      <c r="H20" s="42">
        <f>$D4*0.07</f>
        <v>13.790000000000001</v>
      </c>
      <c r="I20" s="42">
        <f>$D4*0.09</f>
        <v>17.73</v>
      </c>
      <c r="J20" s="41" t="inlineStr">
        <is>
          <t>—</t>
        </is>
      </c>
      <c r="K20" s="43">
        <f>$D4*-0.04</f>
        <v>-7.88</v>
      </c>
      <c r="L20" s="43">
        <f>$D4*-0.04</f>
        <v>-7.88</v>
      </c>
      <c r="M20" s="42">
        <f>$D4*0.11</f>
        <v>21.67</v>
      </c>
      <c r="N20" s="41" t="inlineStr">
        <is>
          <t>—</t>
        </is>
      </c>
      <c r="O20" s="43">
        <f>$D4*-0.06</f>
        <v>-11.82</v>
      </c>
      <c r="P20" s="43">
        <f>$D4*-0.074</f>
        <v>-14.578</v>
      </c>
      <c r="Q20" s="43">
        <f>$D4*-0.065</f>
        <v>-12.805</v>
      </c>
    </row>
    <row r="21" ht="21.75" customHeight="1" s="111">
      <c r="A21" s="36" t="inlineStr">
        <is>
          <t>LNGSW-CONSW 345KV</t>
        </is>
      </c>
      <c r="B21" s="37" t="inlineStr">
        <is>
          <t>🟢 Active</t>
        </is>
      </c>
      <c r="C21" s="38" t="inlineStr">
        <is>
          <t>Judkins (21.3%)</t>
        </is>
      </c>
      <c r="D21" s="39" t="n">
        <v>0.213</v>
      </c>
      <c r="E21" s="42">
        <f>$D4*0.08</f>
        <v>15.76</v>
      </c>
      <c r="F21" s="41" t="inlineStr">
        <is>
          <t>—</t>
        </is>
      </c>
      <c r="G21" s="41" t="inlineStr">
        <is>
          <t>—</t>
        </is>
      </c>
      <c r="H21" s="41" t="inlineStr">
        <is>
          <t>—</t>
        </is>
      </c>
      <c r="I21" s="41" t="inlineStr">
        <is>
          <t>—</t>
        </is>
      </c>
      <c r="J21" s="41" t="inlineStr">
        <is>
          <t>—</t>
        </is>
      </c>
      <c r="K21" s="40">
        <f>$D4*0.213</f>
        <v>41.961</v>
      </c>
      <c r="L21" s="40">
        <f>$D4*0.2</f>
        <v>39.400000000000006</v>
      </c>
      <c r="M21" s="41" t="inlineStr">
        <is>
          <t>—</t>
        </is>
      </c>
      <c r="N21" s="41" t="inlineStr">
        <is>
          <t>—</t>
        </is>
      </c>
      <c r="O21" s="41" t="inlineStr">
        <is>
          <t>—</t>
        </is>
      </c>
      <c r="P21" s="41" t="inlineStr">
        <is>
          <t>—</t>
        </is>
      </c>
      <c r="Q21" s="41" t="inlineStr">
        <is>
          <t>—</t>
        </is>
      </c>
    </row>
    <row r="22" ht="21.75" customHeight="1" s="111">
      <c r="A22" s="36" t="inlineStr">
        <is>
          <t>YELWJCKT-FORTMA 138KV</t>
        </is>
      </c>
      <c r="B22" s="37" t="inlineStr">
        <is>
          <t>🟢 Active</t>
        </is>
      </c>
      <c r="C22" s="38" t="inlineStr">
        <is>
          <t>—</t>
        </is>
      </c>
      <c r="D22" s="44" t="n"/>
      <c r="E22" s="41" t="inlineStr">
        <is>
          <t>—</t>
        </is>
      </c>
      <c r="F22" s="41" t="inlineStr">
        <is>
          <t>—</t>
        </is>
      </c>
      <c r="G22" s="41" t="inlineStr">
        <is>
          <t>—</t>
        </is>
      </c>
      <c r="H22" s="41" t="inlineStr">
        <is>
          <t>—</t>
        </is>
      </c>
      <c r="I22" s="41" t="inlineStr">
        <is>
          <t>—</t>
        </is>
      </c>
      <c r="J22" s="43">
        <f>$D4*-0.5</f>
        <v>-98.5</v>
      </c>
      <c r="K22" s="41" t="inlineStr">
        <is>
          <t>—</t>
        </is>
      </c>
      <c r="L22" s="41" t="inlineStr">
        <is>
          <t>—</t>
        </is>
      </c>
      <c r="M22" s="41" t="inlineStr">
        <is>
          <t>—</t>
        </is>
      </c>
      <c r="N22" s="41" t="inlineStr">
        <is>
          <t>—</t>
        </is>
      </c>
      <c r="O22" s="41" t="inlineStr">
        <is>
          <t>—</t>
        </is>
      </c>
      <c r="P22" s="41" t="inlineStr">
        <is>
          <t>—</t>
        </is>
      </c>
      <c r="Q22" s="41" t="inlineStr">
        <is>
          <t>—</t>
        </is>
      </c>
    </row>
    <row r="23" ht="21.75" customHeight="1" s="111">
      <c r="A23" s="36" t="inlineStr">
        <is>
          <t>Legend:</t>
        </is>
      </c>
      <c r="B23" s="37" t="inlineStr">
        <is>
          <t>🟢 Active = detailed MCC analysis completed</t>
        </is>
      </c>
      <c r="C23" s="38" t="inlineStr">
        <is>
          <t>—</t>
        </is>
      </c>
      <c r="D23" s="44" t="n"/>
      <c r="E23" s="41" t="inlineStr">
        <is>
          <t>—</t>
        </is>
      </c>
      <c r="F23" s="41" t="inlineStr">
        <is>
          <t>—</t>
        </is>
      </c>
      <c r="G23" s="41" t="inlineStr">
        <is>
          <t>—</t>
        </is>
      </c>
      <c r="H23" s="41" t="inlineStr">
        <is>
          <t>—</t>
        </is>
      </c>
      <c r="I23" s="41" t="inlineStr">
        <is>
          <t>—</t>
        </is>
      </c>
      <c r="J23" s="41" t="inlineStr">
        <is>
          <t>—</t>
        </is>
      </c>
      <c r="K23" s="41" t="inlineStr">
        <is>
          <t>—</t>
        </is>
      </c>
      <c r="L23" s="41" t="inlineStr">
        <is>
          <t>—</t>
        </is>
      </c>
      <c r="M23" s="41" t="inlineStr">
        <is>
          <t>—</t>
        </is>
      </c>
      <c r="N23" s="41" t="inlineStr">
        <is>
          <t>—</t>
        </is>
      </c>
      <c r="O23" s="41" t="inlineStr">
        <is>
          <t>—</t>
        </is>
      </c>
      <c r="P23" s="41" t="inlineStr">
        <is>
          <t>—</t>
        </is>
      </c>
      <c r="Q23" s="41" t="inlineStr">
        <is>
          <t>—</t>
        </is>
      </c>
    </row>
    <row r="24" ht="21.75" customHeight="1" s="111">
      <c r="A24" s="45" t="inlineStr">
        <is>
          <t>ASHERTON-CATARINA 138KV</t>
        </is>
      </c>
      <c r="B24" s="46" t="inlineStr">
        <is>
          <t>🟡 Watch</t>
        </is>
      </c>
      <c r="C24" s="47" t="inlineStr">
        <is>
          <t>Catarina (77.0%)</t>
        </is>
      </c>
      <c r="D24" s="48" t="n">
        <v>0.7698199999999999</v>
      </c>
      <c r="E24" s="49" t="inlineStr">
        <is>
          <t>—</t>
        </is>
      </c>
      <c r="F24" s="50">
        <f>$D4*0.76982</f>
        <v>151.65454</v>
      </c>
      <c r="G24" s="50">
        <f>$D4*0.17245</f>
        <v>33.97265</v>
      </c>
      <c r="H24" s="51">
        <f>$D4*-0.09</f>
        <v>-17.73</v>
      </c>
      <c r="I24" s="51">
        <f>$D4*-0.116</f>
        <v>-22.852</v>
      </c>
      <c r="J24" s="49" t="inlineStr">
        <is>
          <t>—</t>
        </is>
      </c>
      <c r="K24" s="49" t="inlineStr">
        <is>
          <t>—</t>
        </is>
      </c>
      <c r="L24" s="49" t="inlineStr">
        <is>
          <t>—</t>
        </is>
      </c>
      <c r="M24" s="49" t="inlineStr">
        <is>
          <t>—</t>
        </is>
      </c>
      <c r="N24" s="49" t="inlineStr">
        <is>
          <t>—</t>
        </is>
      </c>
      <c r="O24" s="49" t="inlineStr">
        <is>
          <t>—</t>
        </is>
      </c>
      <c r="P24" s="49" t="inlineStr">
        <is>
          <t>—</t>
        </is>
      </c>
      <c r="Q24" s="49" t="inlineStr">
        <is>
          <t>—</t>
        </is>
      </c>
    </row>
    <row r="25" ht="21.75" customHeight="1" s="111">
      <c r="A25" s="45" t="inlineStr">
        <is>
          <t>MRVLY-ESTLD 69KV</t>
        </is>
      </c>
      <c r="B25" s="46" t="inlineStr">
        <is>
          <t>🟡 Watch</t>
        </is>
      </c>
      <c r="C25" s="47" t="inlineStr">
        <is>
          <t>Cisco (17.3%)</t>
        </is>
      </c>
      <c r="D25" s="48" t="n">
        <v>0.17348</v>
      </c>
      <c r="E25" s="49" t="inlineStr">
        <is>
          <t>—</t>
        </is>
      </c>
      <c r="F25" s="49" t="inlineStr">
        <is>
          <t>—</t>
        </is>
      </c>
      <c r="G25" s="49" t="inlineStr">
        <is>
          <t>—</t>
        </is>
      </c>
      <c r="H25" s="49" t="inlineStr">
        <is>
          <t>—</t>
        </is>
      </c>
      <c r="I25" s="49" t="inlineStr">
        <is>
          <t>—</t>
        </is>
      </c>
      <c r="J25" s="49" t="inlineStr">
        <is>
          <t>—</t>
        </is>
      </c>
      <c r="K25" s="49" t="inlineStr">
        <is>
          <t>—</t>
        </is>
      </c>
      <c r="L25" s="49" t="inlineStr">
        <is>
          <t>—</t>
        </is>
      </c>
      <c r="M25" s="49" t="inlineStr">
        <is>
          <t>—</t>
        </is>
      </c>
      <c r="N25" s="49" t="inlineStr">
        <is>
          <t>—</t>
        </is>
      </c>
      <c r="O25" s="50">
        <f>$D4*0.17348</f>
        <v>34.17556</v>
      </c>
      <c r="P25" s="49" t="inlineStr">
        <is>
          <t>—</t>
        </is>
      </c>
      <c r="Q25" s="49" t="inlineStr">
        <is>
          <t>—</t>
        </is>
      </c>
    </row>
    <row r="26" ht="21.75" customHeight="1" s="111">
      <c r="A26" s="45" t="inlineStr">
        <is>
          <t>STP-WAP 345KV</t>
        </is>
      </c>
      <c r="B26" s="46" t="inlineStr">
        <is>
          <t>🟡 Watch</t>
        </is>
      </c>
      <c r="C26" s="47" t="inlineStr">
        <is>
          <t>Mainland (9.6%)</t>
        </is>
      </c>
      <c r="D26" s="48" t="n">
        <v>0.09569999999999999</v>
      </c>
      <c r="E26" s="49" t="inlineStr">
        <is>
          <t>—</t>
        </is>
      </c>
      <c r="F26" s="51">
        <f>$D4*-0.085</f>
        <v>-16.745</v>
      </c>
      <c r="G26" s="51">
        <f>$D4*-0.09462</f>
        <v>-18.64014</v>
      </c>
      <c r="H26" s="51">
        <f>$D4*-0.05</f>
        <v>-9.850000000000001</v>
      </c>
      <c r="I26" s="51">
        <f>$D4*-0.07</f>
        <v>-13.790000000000001</v>
      </c>
      <c r="J26" s="49" t="inlineStr">
        <is>
          <t>—</t>
        </is>
      </c>
      <c r="K26" s="49" t="inlineStr">
        <is>
          <t>—</t>
        </is>
      </c>
      <c r="L26" s="49" t="inlineStr">
        <is>
          <t>—</t>
        </is>
      </c>
      <c r="M26" s="51">
        <f>$D4*-0.11296</f>
        <v>-22.253120000000003</v>
      </c>
      <c r="N26" s="52">
        <f>$D4*0.0957</f>
        <v>18.852899999999998</v>
      </c>
      <c r="O26" s="49" t="inlineStr">
        <is>
          <t>—</t>
        </is>
      </c>
      <c r="P26" s="49" t="inlineStr">
        <is>
          <t>—</t>
        </is>
      </c>
      <c r="Q26" s="49" t="inlineStr">
        <is>
          <t>—</t>
        </is>
      </c>
    </row>
    <row r="27" ht="21.75" customHeight="1" s="111">
      <c r="A27" s="45" t="inlineStr">
        <is>
          <t>PALOUSE-WOLFCAMP 138KV</t>
        </is>
      </c>
      <c r="B27" s="46" t="inlineStr">
        <is>
          <t>🟡 Watch</t>
        </is>
      </c>
      <c r="C27" s="47" t="inlineStr">
        <is>
          <t>Russek (30.6%)</t>
        </is>
      </c>
      <c r="D27" s="48" t="n">
        <v>0.30569</v>
      </c>
      <c r="E27" s="50">
        <f>$D4*0.30569</f>
        <v>60.22093</v>
      </c>
      <c r="F27" s="49" t="inlineStr">
        <is>
          <t>—</t>
        </is>
      </c>
      <c r="G27" s="49" t="inlineStr">
        <is>
          <t>—</t>
        </is>
      </c>
      <c r="H27" s="49" t="inlineStr">
        <is>
          <t>—</t>
        </is>
      </c>
      <c r="I27" s="49" t="inlineStr">
        <is>
          <t>—</t>
        </is>
      </c>
      <c r="J27" s="49" t="inlineStr">
        <is>
          <t>—</t>
        </is>
      </c>
      <c r="K27" s="49" t="inlineStr">
        <is>
          <t>—</t>
        </is>
      </c>
      <c r="L27" s="49" t="inlineStr">
        <is>
          <t>—</t>
        </is>
      </c>
      <c r="M27" s="49" t="inlineStr">
        <is>
          <t>—</t>
        </is>
      </c>
      <c r="N27" s="49" t="inlineStr">
        <is>
          <t>—</t>
        </is>
      </c>
      <c r="O27" s="49" t="inlineStr">
        <is>
          <t>—</t>
        </is>
      </c>
      <c r="P27" s="49" t="inlineStr">
        <is>
          <t>—</t>
        </is>
      </c>
      <c r="Q27" s="49" t="inlineStr">
        <is>
          <t>—</t>
        </is>
      </c>
    </row>
    <row r="28" ht="21.75" customHeight="1" s="111">
      <c r="A28" s="45" t="inlineStr">
        <is>
          <t>LPLMK-LPLNE 115KV</t>
        </is>
      </c>
      <c r="B28" s="46" t="inlineStr">
        <is>
          <t>🟡 Watch</t>
        </is>
      </c>
      <c r="C28" s="47" t="inlineStr">
        <is>
          <t>Judkins (1.6%)</t>
        </is>
      </c>
      <c r="D28" s="48" t="n">
        <v>0.01594</v>
      </c>
      <c r="E28" s="52">
        <f>$D4*0.01044</f>
        <v>2.05668</v>
      </c>
      <c r="F28" s="49" t="inlineStr">
        <is>
          <t>—</t>
        </is>
      </c>
      <c r="G28" s="49" t="inlineStr">
        <is>
          <t>—</t>
        </is>
      </c>
      <c r="H28" s="52">
        <f>$D4*0.00574</f>
        <v>1.1307800000000001</v>
      </c>
      <c r="I28" s="49" t="inlineStr">
        <is>
          <t>—</t>
        </is>
      </c>
      <c r="J28" s="49" t="inlineStr">
        <is>
          <t>—</t>
        </is>
      </c>
      <c r="K28" s="52">
        <f>$D4*0.01594</f>
        <v>3.14018</v>
      </c>
      <c r="L28" s="52">
        <f>$D4*0.01487</f>
        <v>2.9293899999999997</v>
      </c>
      <c r="M28" s="49" t="inlineStr">
        <is>
          <t>—</t>
        </is>
      </c>
      <c r="N28" s="49" t="inlineStr">
        <is>
          <t>—</t>
        </is>
      </c>
      <c r="O28" s="49" t="inlineStr">
        <is>
          <t>—</t>
        </is>
      </c>
      <c r="P28" s="49" t="inlineStr">
        <is>
          <t>—</t>
        </is>
      </c>
      <c r="Q28" s="49" t="inlineStr">
        <is>
          <t>—</t>
        </is>
      </c>
    </row>
    <row r="29" ht="21.75" customHeight="1" s="111">
      <c r="A29" s="45" t="inlineStr">
        <is>
          <t>CRDSW-OLNEY 69KV</t>
        </is>
      </c>
      <c r="B29" s="46" t="inlineStr">
        <is>
          <t>🟡 Watch</t>
        </is>
      </c>
      <c r="C29" s="47" t="inlineStr">
        <is>
          <t>Olney (78.7%)</t>
        </is>
      </c>
      <c r="D29" s="48" t="n">
        <v>0.78682</v>
      </c>
      <c r="E29" s="49" t="inlineStr">
        <is>
          <t>—</t>
        </is>
      </c>
      <c r="F29" s="49" t="inlineStr">
        <is>
          <t>—</t>
        </is>
      </c>
      <c r="G29" s="49" t="inlineStr">
        <is>
          <t>—</t>
        </is>
      </c>
      <c r="H29" s="49" t="inlineStr">
        <is>
          <t>—</t>
        </is>
      </c>
      <c r="I29" s="49" t="inlineStr">
        <is>
          <t>—</t>
        </is>
      </c>
      <c r="J29" s="49" t="inlineStr">
        <is>
          <t>—</t>
        </is>
      </c>
      <c r="K29" s="49" t="inlineStr">
        <is>
          <t>—</t>
        </is>
      </c>
      <c r="L29" s="49" t="inlineStr">
        <is>
          <t>—</t>
        </is>
      </c>
      <c r="M29" s="49" t="inlineStr">
        <is>
          <t>—</t>
        </is>
      </c>
      <c r="N29" s="49" t="inlineStr">
        <is>
          <t>—</t>
        </is>
      </c>
      <c r="O29" s="49" t="inlineStr">
        <is>
          <t>—</t>
        </is>
      </c>
      <c r="P29" s="49" t="inlineStr">
        <is>
          <t>—</t>
        </is>
      </c>
      <c r="Q29" s="50">
        <f>$D4*0.78682</f>
        <v>155.00354</v>
      </c>
    </row>
    <row r="30" ht="21.75" customHeight="1" s="111">
      <c r="A30" s="45" t="inlineStr">
        <is>
          <t>HONDOCK-DEVINESW 69KV</t>
        </is>
      </c>
      <c r="B30" s="46" t="inlineStr">
        <is>
          <t>🟡 Watch</t>
        </is>
      </c>
      <c r="C30" s="47" t="inlineStr">
        <is>
          <t>—</t>
        </is>
      </c>
      <c r="D30" s="53" t="n"/>
      <c r="E30" s="49" t="inlineStr">
        <is>
          <t>—</t>
        </is>
      </c>
      <c r="F30" s="51">
        <f>$D4*-0.05</f>
        <v>-9.850000000000001</v>
      </c>
      <c r="G30" s="49" t="inlineStr">
        <is>
          <t>—</t>
        </is>
      </c>
      <c r="H30" s="51">
        <f>$D4*-0.06</f>
        <v>-11.82</v>
      </c>
      <c r="I30" s="51">
        <f>$D4*-0.064</f>
        <v>-12.608</v>
      </c>
      <c r="J30" s="49" t="inlineStr">
        <is>
          <t>—</t>
        </is>
      </c>
      <c r="K30" s="49" t="inlineStr">
        <is>
          <t>—</t>
        </is>
      </c>
      <c r="L30" s="49" t="inlineStr">
        <is>
          <t>—</t>
        </is>
      </c>
      <c r="M30" s="49" t="inlineStr">
        <is>
          <t>—</t>
        </is>
      </c>
      <c r="N30" s="49" t="inlineStr">
        <is>
          <t>—</t>
        </is>
      </c>
      <c r="O30" s="49" t="inlineStr">
        <is>
          <t>—</t>
        </is>
      </c>
      <c r="P30" s="49" t="inlineStr">
        <is>
          <t>—</t>
        </is>
      </c>
      <c r="Q30" s="49" t="inlineStr">
        <is>
          <t>—</t>
        </is>
      </c>
    </row>
    <row r="31" ht="21.75" customHeight="1" s="111">
      <c r="A31" s="45" t="inlineStr">
        <is>
          <t>I_FW_N</t>
        </is>
      </c>
      <c r="B31" s="46" t="inlineStr">
        <is>
          <t>🟡 Watch</t>
        </is>
      </c>
      <c r="C31" s="47" t="inlineStr">
        <is>
          <t>Judkins (15.7%)</t>
        </is>
      </c>
      <c r="D31" s="48" t="n">
        <v>0.1566</v>
      </c>
      <c r="E31" s="52">
        <f>$D4*0.09</f>
        <v>17.73</v>
      </c>
      <c r="F31" s="49" t="inlineStr">
        <is>
          <t>—</t>
        </is>
      </c>
      <c r="G31" s="49" t="inlineStr">
        <is>
          <t>—</t>
        </is>
      </c>
      <c r="H31" s="49" t="inlineStr">
        <is>
          <t>—</t>
        </is>
      </c>
      <c r="I31" s="49" t="inlineStr">
        <is>
          <t>—</t>
        </is>
      </c>
      <c r="J31" s="49" t="inlineStr">
        <is>
          <t>—</t>
        </is>
      </c>
      <c r="K31" s="50">
        <f>$D4*0.1566</f>
        <v>30.850199999999997</v>
      </c>
      <c r="L31" s="52">
        <f>$D4*0.1374</f>
        <v>27.0678</v>
      </c>
      <c r="M31" s="49" t="inlineStr">
        <is>
          <t>—</t>
        </is>
      </c>
      <c r="N31" s="49" t="inlineStr">
        <is>
          <t>—</t>
        </is>
      </c>
      <c r="O31" s="49" t="inlineStr">
        <is>
          <t>—</t>
        </is>
      </c>
      <c r="P31" s="51">
        <f>$D4*-0.04</f>
        <v>-7.88</v>
      </c>
      <c r="Q31" s="51">
        <f>$D4*-0.06</f>
        <v>-11.82</v>
      </c>
    </row>
    <row r="32" ht="21.75" customHeight="1" s="111">
      <c r="A32" s="45" t="inlineStr">
        <is>
          <t>CARVER-TINSLEY 138KV</t>
        </is>
      </c>
      <c r="B32" s="46" t="inlineStr">
        <is>
          <t>🟡 Watch</t>
        </is>
      </c>
      <c r="C32" s="47" t="inlineStr">
        <is>
          <t>Hamilton (32.3%)</t>
        </is>
      </c>
      <c r="D32" s="48" t="n">
        <v>0.32323</v>
      </c>
      <c r="E32" s="51">
        <f>$D4*-0.07</f>
        <v>-13.790000000000001</v>
      </c>
      <c r="F32" s="52">
        <f>$D4*0.09</f>
        <v>17.73</v>
      </c>
      <c r="G32" s="49" t="inlineStr">
        <is>
          <t>—</t>
        </is>
      </c>
      <c r="H32" s="50">
        <f>$D4*0.32323</f>
        <v>63.67631</v>
      </c>
      <c r="I32" s="50">
        <f>$D4*0.21</f>
        <v>41.37</v>
      </c>
      <c r="J32" s="49" t="inlineStr">
        <is>
          <t>—</t>
        </is>
      </c>
      <c r="K32" s="49" t="inlineStr">
        <is>
          <t>—</t>
        </is>
      </c>
      <c r="L32" s="49" t="inlineStr">
        <is>
          <t>—</t>
        </is>
      </c>
      <c r="M32" s="49" t="inlineStr">
        <is>
          <t>—</t>
        </is>
      </c>
      <c r="N32" s="49" t="inlineStr">
        <is>
          <t>—</t>
        </is>
      </c>
      <c r="O32" s="49" t="inlineStr">
        <is>
          <t>—</t>
        </is>
      </c>
      <c r="P32" s="49" t="inlineStr">
        <is>
          <t>—</t>
        </is>
      </c>
      <c r="Q32" s="49" t="inlineStr">
        <is>
          <t>—</t>
        </is>
      </c>
    </row>
    <row r="33" ht="21.75" customHeight="1" s="111">
      <c r="A33" s="45" t="inlineStr">
        <is>
          <t>BIG_FOOT-PLEASANT 138KV</t>
        </is>
      </c>
      <c r="B33" s="46" t="inlineStr">
        <is>
          <t>🟡 Watch</t>
        </is>
      </c>
      <c r="C33" s="47" t="inlineStr">
        <is>
          <t>—</t>
        </is>
      </c>
      <c r="D33" s="53" t="n"/>
      <c r="E33" s="49" t="inlineStr">
        <is>
          <t>—</t>
        </is>
      </c>
      <c r="F33" s="51">
        <f>$D4*-0.092</f>
        <v>-18.124</v>
      </c>
      <c r="G33" s="51">
        <f>$D4*-0.0534</f>
        <v>-10.5198</v>
      </c>
      <c r="H33" s="51">
        <f>$D4*-0.088</f>
        <v>-17.336</v>
      </c>
      <c r="I33" s="51">
        <f>$D4*-0.098</f>
        <v>-19.306</v>
      </c>
      <c r="J33" s="49" t="inlineStr">
        <is>
          <t>—</t>
        </is>
      </c>
      <c r="K33" s="49" t="inlineStr">
        <is>
          <t>—</t>
        </is>
      </c>
      <c r="L33" s="49" t="inlineStr">
        <is>
          <t>—</t>
        </is>
      </c>
      <c r="M33" s="49" t="inlineStr">
        <is>
          <t>—</t>
        </is>
      </c>
      <c r="N33" s="49" t="inlineStr">
        <is>
          <t>—</t>
        </is>
      </c>
      <c r="O33" s="49" t="inlineStr">
        <is>
          <t>—</t>
        </is>
      </c>
      <c r="P33" s="49" t="inlineStr">
        <is>
          <t>—</t>
        </is>
      </c>
      <c r="Q33" s="49" t="inlineStr">
        <is>
          <t>—</t>
        </is>
      </c>
    </row>
    <row r="34" ht="21.75" customHeight="1" s="111">
      <c r="A34" s="45" t="inlineStr">
        <is>
          <t>MASN-KATEMCY 69KV</t>
        </is>
      </c>
      <c r="B34" s="46" t="inlineStr">
        <is>
          <t>🟡 Watch</t>
        </is>
      </c>
      <c r="C34" s="47" t="inlineStr">
        <is>
          <t>Junction (25.1%)</t>
        </is>
      </c>
      <c r="D34" s="48" t="n">
        <v>0.251</v>
      </c>
      <c r="E34" s="49" t="inlineStr">
        <is>
          <t>—</t>
        </is>
      </c>
      <c r="F34" s="49" t="inlineStr">
        <is>
          <t>—</t>
        </is>
      </c>
      <c r="G34" s="49" t="inlineStr">
        <is>
          <t>—</t>
        </is>
      </c>
      <c r="H34" s="49" t="inlineStr">
        <is>
          <t>—</t>
        </is>
      </c>
      <c r="I34" s="49" t="inlineStr">
        <is>
          <t>—</t>
        </is>
      </c>
      <c r="J34" s="50">
        <f>$D4*0.251</f>
        <v>49.447</v>
      </c>
      <c r="K34" s="49" t="inlineStr">
        <is>
          <t>—</t>
        </is>
      </c>
      <c r="L34" s="49" t="inlineStr">
        <is>
          <t>—</t>
        </is>
      </c>
      <c r="M34" s="49" t="inlineStr">
        <is>
          <t>—</t>
        </is>
      </c>
      <c r="N34" s="49" t="inlineStr">
        <is>
          <t>—</t>
        </is>
      </c>
      <c r="O34" s="49" t="inlineStr">
        <is>
          <t>—</t>
        </is>
      </c>
      <c r="P34" s="49" t="inlineStr">
        <is>
          <t>—</t>
        </is>
      </c>
      <c r="Q34" s="49" t="inlineStr">
        <is>
          <t>—</t>
        </is>
      </c>
    </row>
    <row r="35" ht="21.75" customHeight="1" s="111">
      <c r="A35" s="45" t="inlineStr">
        <is>
          <t>KLNSW-HHSTH 138KV</t>
        </is>
      </c>
      <c r="B35" s="46" t="inlineStr">
        <is>
          <t>🟡 Watch</t>
        </is>
      </c>
      <c r="C35" s="47" t="inlineStr">
        <is>
          <t>—</t>
        </is>
      </c>
      <c r="D35" s="53" t="n"/>
      <c r="E35" s="51">
        <f>$D4*-0.05</f>
        <v>-9.850000000000001</v>
      </c>
      <c r="F35" s="49" t="inlineStr">
        <is>
          <t>—</t>
        </is>
      </c>
      <c r="G35" s="49" t="inlineStr">
        <is>
          <t>—</t>
        </is>
      </c>
      <c r="H35" s="49" t="inlineStr">
        <is>
          <t>—</t>
        </is>
      </c>
      <c r="I35" s="49" t="inlineStr">
        <is>
          <t>—</t>
        </is>
      </c>
      <c r="J35" s="49" t="inlineStr">
        <is>
          <t>—</t>
        </is>
      </c>
      <c r="K35" s="51">
        <f>$D4*-0.048</f>
        <v>-9.456</v>
      </c>
      <c r="L35" s="51">
        <f>$D4*-0.048</f>
        <v>-9.456</v>
      </c>
      <c r="M35" s="49" t="inlineStr">
        <is>
          <t>—</t>
        </is>
      </c>
      <c r="N35" s="49" t="inlineStr">
        <is>
          <t>—</t>
        </is>
      </c>
      <c r="O35" s="51">
        <f>$D4*-0.04</f>
        <v>-7.88</v>
      </c>
      <c r="P35" s="49" t="inlineStr">
        <is>
          <t>—</t>
        </is>
      </c>
      <c r="Q35" s="49" t="inlineStr">
        <is>
          <t>—</t>
        </is>
      </c>
    </row>
    <row r="36" ht="21.75" customHeight="1" s="111">
      <c r="A36" s="45" t="inlineStr">
        <is>
          <t>SAMSW-VENSW 345KV</t>
        </is>
      </c>
      <c r="B36" s="46" t="inlineStr">
        <is>
          <t>🟡 Watch</t>
        </is>
      </c>
      <c r="C36" s="47" t="inlineStr">
        <is>
          <t>Diboll (5.3%)</t>
        </is>
      </c>
      <c r="D36" s="48" t="n">
        <v>0.053</v>
      </c>
      <c r="E36" s="49" t="inlineStr">
        <is>
          <t>—</t>
        </is>
      </c>
      <c r="F36" s="51">
        <f>$D4*-0.053</f>
        <v>-10.440999999999999</v>
      </c>
      <c r="G36" s="51">
        <f>$D4*-0.056</f>
        <v>-11.032</v>
      </c>
      <c r="H36" s="49" t="inlineStr">
        <is>
          <t>—</t>
        </is>
      </c>
      <c r="I36" s="51">
        <f>$D4*-0.044</f>
        <v>-8.668</v>
      </c>
      <c r="J36" s="49" t="inlineStr">
        <is>
          <t>—</t>
        </is>
      </c>
      <c r="K36" s="49" t="inlineStr">
        <is>
          <t>—</t>
        </is>
      </c>
      <c r="L36" s="49" t="inlineStr">
        <is>
          <t>—</t>
        </is>
      </c>
      <c r="M36" s="51">
        <f>$D4*-0.056</f>
        <v>-11.032</v>
      </c>
      <c r="N36" s="51">
        <f>$D4*-0.04</f>
        <v>-7.88</v>
      </c>
      <c r="O36" s="49" t="inlineStr">
        <is>
          <t>—</t>
        </is>
      </c>
      <c r="P36" s="52">
        <f>$D4*0.053</f>
        <v>10.440999999999999</v>
      </c>
      <c r="Q36" s="52">
        <f>$D4*0.05</f>
        <v>9.850000000000001</v>
      </c>
    </row>
    <row r="37" ht="21.75" customHeight="1" s="111">
      <c r="A37" s="45" t="inlineStr">
        <is>
          <t>MADDUX-TREADWEL 138KV</t>
        </is>
      </c>
      <c r="B37" s="46" t="inlineStr">
        <is>
          <t>🟡 Watch</t>
        </is>
      </c>
      <c r="C37" s="47" t="inlineStr">
        <is>
          <t>Junction (39.3%)</t>
        </is>
      </c>
      <c r="D37" s="48" t="n">
        <v>0.39252</v>
      </c>
      <c r="E37" s="49" t="inlineStr">
        <is>
          <t>—</t>
        </is>
      </c>
      <c r="F37" s="49" t="inlineStr">
        <is>
          <t>—</t>
        </is>
      </c>
      <c r="G37" s="49" t="inlineStr">
        <is>
          <t>—</t>
        </is>
      </c>
      <c r="H37" s="49" t="inlineStr">
        <is>
          <t>—</t>
        </is>
      </c>
      <c r="I37" s="49" t="inlineStr">
        <is>
          <t>—</t>
        </is>
      </c>
      <c r="J37" s="50">
        <f>$D4*0.39252</f>
        <v>77.32643999999999</v>
      </c>
      <c r="K37" s="49" t="inlineStr">
        <is>
          <t>—</t>
        </is>
      </c>
      <c r="L37" s="49" t="inlineStr">
        <is>
          <t>—</t>
        </is>
      </c>
      <c r="M37" s="49" t="inlineStr">
        <is>
          <t>—</t>
        </is>
      </c>
      <c r="N37" s="49" t="inlineStr">
        <is>
          <t>—</t>
        </is>
      </c>
      <c r="O37" s="49" t="inlineStr">
        <is>
          <t>—</t>
        </is>
      </c>
      <c r="P37" s="49" t="inlineStr">
        <is>
          <t>—</t>
        </is>
      </c>
      <c r="Q37" s="49" t="inlineStr">
        <is>
          <t>—</t>
        </is>
      </c>
    </row>
    <row r="38" ht="21.75" customHeight="1" s="111">
      <c r="A38" s="45" t="inlineStr">
        <is>
          <t>PRLSW-CONSW 345KV</t>
        </is>
      </c>
      <c r="B38" s="46" t="inlineStr">
        <is>
          <t>🟡 Watch</t>
        </is>
      </c>
      <c r="C38" s="47" t="inlineStr">
        <is>
          <t>Judkins (29.0%)</t>
        </is>
      </c>
      <c r="D38" s="48" t="n">
        <v>0.29043</v>
      </c>
      <c r="E38" s="52">
        <f>$D4*0.11076</f>
        <v>21.81972</v>
      </c>
      <c r="F38" s="49" t="inlineStr">
        <is>
          <t>—</t>
        </is>
      </c>
      <c r="G38" s="49" t="inlineStr">
        <is>
          <t>—</t>
        </is>
      </c>
      <c r="H38" s="52">
        <f>$D4*0.0458</f>
        <v>9.0226</v>
      </c>
      <c r="I38" s="49" t="inlineStr">
        <is>
          <t>—</t>
        </is>
      </c>
      <c r="J38" s="49" t="inlineStr">
        <is>
          <t>—</t>
        </is>
      </c>
      <c r="K38" s="50">
        <f>$D4*0.29043</f>
        <v>57.214710000000004</v>
      </c>
      <c r="L38" s="50">
        <f>$D4*0.2337</f>
        <v>46.0389</v>
      </c>
      <c r="M38" s="49" t="inlineStr">
        <is>
          <t>—</t>
        </is>
      </c>
      <c r="N38" s="49" t="inlineStr">
        <is>
          <t>—</t>
        </is>
      </c>
      <c r="O38" s="51">
        <f>$D4*-0.0525</f>
        <v>-10.3425</v>
      </c>
      <c r="P38" s="51">
        <f>$D4*-0.041</f>
        <v>-8.077</v>
      </c>
      <c r="Q38" s="51">
        <f>$D4*-0.05</f>
        <v>-9.850000000000001</v>
      </c>
    </row>
    <row r="39" ht="21.75" customHeight="1" s="111">
      <c r="A39" s="45" t="inlineStr">
        <is>
          <t>MAXWELL-HAMILTON 138KV</t>
        </is>
      </c>
      <c r="B39" s="46" t="inlineStr">
        <is>
          <t>🟡 Watch</t>
        </is>
      </c>
      <c r="C39" s="47" t="inlineStr">
        <is>
          <t>Hamilton (23.0%)</t>
        </is>
      </c>
      <c r="D39" s="48" t="n">
        <v>0.22977</v>
      </c>
      <c r="E39" s="51">
        <f>$D4*-0.05</f>
        <v>-9.850000000000001</v>
      </c>
      <c r="F39" s="52">
        <f>$D4*0.05</f>
        <v>9.850000000000001</v>
      </c>
      <c r="G39" s="49" t="inlineStr">
        <is>
          <t>—</t>
        </is>
      </c>
      <c r="H39" s="50">
        <f>$D4*0.22977</f>
        <v>45.26469</v>
      </c>
      <c r="I39" s="52">
        <f>$D4*0.1432</f>
        <v>28.2104</v>
      </c>
      <c r="J39" s="49" t="inlineStr">
        <is>
          <t>—</t>
        </is>
      </c>
      <c r="K39" s="49" t="inlineStr">
        <is>
          <t>—</t>
        </is>
      </c>
      <c r="L39" s="49" t="inlineStr">
        <is>
          <t>—</t>
        </is>
      </c>
      <c r="M39" s="49" t="inlineStr">
        <is>
          <t>—</t>
        </is>
      </c>
      <c r="N39" s="49" t="inlineStr">
        <is>
          <t>—</t>
        </is>
      </c>
      <c r="O39" s="49" t="inlineStr">
        <is>
          <t>—</t>
        </is>
      </c>
      <c r="P39" s="49" t="inlineStr">
        <is>
          <t>—</t>
        </is>
      </c>
      <c r="Q39" s="49" t="inlineStr">
        <is>
          <t>—</t>
        </is>
      </c>
    </row>
    <row r="40" ht="21.75" customHeight="1" s="111">
      <c r="A40" s="45" t="inlineStr">
        <is>
          <t>LNGSW-CONSW 345KV</t>
        </is>
      </c>
      <c r="B40" s="46" t="inlineStr">
        <is>
          <t>🟡 Watch</t>
        </is>
      </c>
      <c r="C40" s="47" t="inlineStr">
        <is>
          <t>Judkins (21.5%)</t>
        </is>
      </c>
      <c r="D40" s="48" t="n">
        <v>0.213</v>
      </c>
      <c r="E40" s="52">
        <f>$D4*0.08</f>
        <v>15.76</v>
      </c>
      <c r="F40" s="49" t="inlineStr">
        <is>
          <t>—</t>
        </is>
      </c>
      <c r="G40" s="49" t="inlineStr">
        <is>
          <t>—</t>
        </is>
      </c>
      <c r="H40" s="49" t="inlineStr">
        <is>
          <t>—</t>
        </is>
      </c>
      <c r="I40" s="49" t="inlineStr">
        <is>
          <t>—</t>
        </is>
      </c>
      <c r="J40" s="49" t="inlineStr">
        <is>
          <t>—</t>
        </is>
      </c>
      <c r="K40" s="50">
        <f>$D4*0.213</f>
        <v>41.961</v>
      </c>
      <c r="L40" s="50">
        <f>$D4*0.2</f>
        <v>39.400000000000006</v>
      </c>
      <c r="M40" s="49" t="inlineStr">
        <is>
          <t>—</t>
        </is>
      </c>
      <c r="N40" s="49" t="inlineStr">
        <is>
          <t>—</t>
        </is>
      </c>
      <c r="O40" s="49" t="inlineStr">
        <is>
          <t>—</t>
        </is>
      </c>
      <c r="P40" s="49" t="inlineStr">
        <is>
          <t>—</t>
        </is>
      </c>
      <c r="Q40" s="49" t="inlineStr">
        <is>
          <t>—</t>
        </is>
      </c>
    </row>
    <row r="41" ht="21.75" customHeight="1" s="111">
      <c r="A41" s="45" t="inlineStr">
        <is>
          <t>SONR-ATSO 69KV</t>
        </is>
      </c>
      <c r="B41" s="46" t="inlineStr">
        <is>
          <t>🟡 Watch</t>
        </is>
      </c>
      <c r="C41" s="47" t="inlineStr">
        <is>
          <t>Russek (5.0%)</t>
        </is>
      </c>
      <c r="D41" s="48" t="n">
        <v>0.05</v>
      </c>
      <c r="E41" s="52">
        <f>$D4*0.05</f>
        <v>9.850000000000001</v>
      </c>
      <c r="F41" s="49" t="inlineStr">
        <is>
          <t>—</t>
        </is>
      </c>
      <c r="G41" s="49" t="inlineStr">
        <is>
          <t>—</t>
        </is>
      </c>
      <c r="H41" s="52">
        <f>$D4*0.014</f>
        <v>2.758</v>
      </c>
      <c r="I41" s="49" t="inlineStr">
        <is>
          <t>—</t>
        </is>
      </c>
      <c r="J41" s="49" t="inlineStr">
        <is>
          <t>—</t>
        </is>
      </c>
      <c r="K41" s="49" t="inlineStr">
        <is>
          <t>—</t>
        </is>
      </c>
      <c r="L41" s="49" t="inlineStr">
        <is>
          <t>—</t>
        </is>
      </c>
      <c r="M41" s="49" t="inlineStr">
        <is>
          <t>—</t>
        </is>
      </c>
      <c r="N41" s="49" t="inlineStr">
        <is>
          <t>—</t>
        </is>
      </c>
      <c r="O41" s="49" t="inlineStr">
        <is>
          <t>—</t>
        </is>
      </c>
      <c r="P41" s="49" t="inlineStr">
        <is>
          <t>—</t>
        </is>
      </c>
      <c r="Q41" s="49" t="inlineStr">
        <is>
          <t>—</t>
        </is>
      </c>
    </row>
    <row r="42" ht="21.75" customHeight="1" s="111">
      <c r="A42" s="45" t="inlineStr">
        <is>
          <t>LAKENASW-SAMATHIS 69KV</t>
        </is>
      </c>
      <c r="B42" s="46" t="inlineStr">
        <is>
          <t>🟡 Watch</t>
        </is>
      </c>
      <c r="C42" s="47" t="inlineStr">
        <is>
          <t>Russek (7.3%)</t>
        </is>
      </c>
      <c r="D42" s="48" t="n">
        <v>0.07252</v>
      </c>
      <c r="E42" s="52">
        <f>$D4*0.07252</f>
        <v>14.28644</v>
      </c>
      <c r="F42" s="49" t="inlineStr">
        <is>
          <t>—</t>
        </is>
      </c>
      <c r="G42" s="49" t="inlineStr">
        <is>
          <t>—</t>
        </is>
      </c>
      <c r="H42" s="49" t="inlineStr">
        <is>
          <t>—</t>
        </is>
      </c>
      <c r="I42" s="49" t="inlineStr">
        <is>
          <t>—</t>
        </is>
      </c>
      <c r="J42" s="49" t="inlineStr">
        <is>
          <t>—</t>
        </is>
      </c>
      <c r="K42" s="49" t="inlineStr">
        <is>
          <t>—</t>
        </is>
      </c>
      <c r="L42" s="49" t="inlineStr">
        <is>
          <t>—</t>
        </is>
      </c>
      <c r="M42" s="49" t="inlineStr">
        <is>
          <t>—</t>
        </is>
      </c>
      <c r="N42" s="49" t="inlineStr">
        <is>
          <t>—</t>
        </is>
      </c>
      <c r="O42" s="49" t="inlineStr">
        <is>
          <t>—</t>
        </is>
      </c>
      <c r="P42" s="49" t="inlineStr">
        <is>
          <t>—</t>
        </is>
      </c>
      <c r="Q42" s="49" t="inlineStr">
        <is>
          <t>—</t>
        </is>
      </c>
    </row>
    <row r="43" ht="21.75" customHeight="1" s="111">
      <c r="A43" s="45" t="inlineStr">
        <is>
          <t>BRUNI 138KV</t>
        </is>
      </c>
      <c r="B43" s="46" t="inlineStr">
        <is>
          <t>🟡 Watch</t>
        </is>
      </c>
      <c r="C43" s="47" t="inlineStr">
        <is>
          <t>Catarina (1.0%)</t>
        </is>
      </c>
      <c r="D43" s="48" t="n">
        <v>0.01044</v>
      </c>
      <c r="E43" s="49" t="inlineStr">
        <is>
          <t>—</t>
        </is>
      </c>
      <c r="F43" s="52">
        <f>$D4*0.01044</f>
        <v>2.05668</v>
      </c>
      <c r="G43" s="49" t="inlineStr">
        <is>
          <t>—</t>
        </is>
      </c>
      <c r="H43" s="49" t="inlineStr">
        <is>
          <t>—</t>
        </is>
      </c>
      <c r="I43" s="52">
        <f>$D4*0.01044</f>
        <v>2.05668</v>
      </c>
      <c r="J43" s="49" t="inlineStr">
        <is>
          <t>—</t>
        </is>
      </c>
      <c r="K43" s="49" t="inlineStr">
        <is>
          <t>—</t>
        </is>
      </c>
      <c r="L43" s="49" t="inlineStr">
        <is>
          <t>—</t>
        </is>
      </c>
      <c r="M43" s="49" t="inlineStr">
        <is>
          <t>—</t>
        </is>
      </c>
      <c r="N43" s="49" t="inlineStr">
        <is>
          <t>—</t>
        </is>
      </c>
      <c r="O43" s="49" t="inlineStr">
        <is>
          <t>—</t>
        </is>
      </c>
      <c r="P43" s="49" t="inlineStr">
        <is>
          <t>—</t>
        </is>
      </c>
      <c r="Q43" s="49" t="inlineStr">
        <is>
          <t>—</t>
        </is>
      </c>
    </row>
    <row r="44" ht="21.75" customHeight="1" s="111">
      <c r="A44" s="45" t="inlineStr">
        <is>
          <t>CRTRVLLE-HILGR 138KV</t>
        </is>
      </c>
      <c r="B44" s="46" t="inlineStr">
        <is>
          <t>🟡 Watch</t>
        </is>
      </c>
      <c r="C44" s="47" t="inlineStr">
        <is>
          <t>Judkins (4.0%)</t>
        </is>
      </c>
      <c r="D44" s="48" t="n">
        <v>0.04</v>
      </c>
      <c r="E44" s="49" t="inlineStr">
        <is>
          <t>—</t>
        </is>
      </c>
      <c r="F44" s="49" t="inlineStr">
        <is>
          <t>—</t>
        </is>
      </c>
      <c r="G44" s="49" t="inlineStr">
        <is>
          <t>—</t>
        </is>
      </c>
      <c r="H44" s="49" t="inlineStr">
        <is>
          <t>—</t>
        </is>
      </c>
      <c r="I44" s="49" t="inlineStr">
        <is>
          <t>—</t>
        </is>
      </c>
      <c r="J44" s="49" t="inlineStr">
        <is>
          <t>—</t>
        </is>
      </c>
      <c r="K44" s="52">
        <f>$D4*0.04</f>
        <v>7.88</v>
      </c>
      <c r="L44" s="52">
        <f>$D4*0.04</f>
        <v>7.88</v>
      </c>
      <c r="M44" s="49" t="inlineStr">
        <is>
          <t>—</t>
        </is>
      </c>
      <c r="N44" s="49" t="inlineStr">
        <is>
          <t>—</t>
        </is>
      </c>
      <c r="O44" s="49" t="inlineStr">
        <is>
          <t>—</t>
        </is>
      </c>
      <c r="P44" s="49" t="inlineStr">
        <is>
          <t>—</t>
        </is>
      </c>
      <c r="Q44" s="49" t="inlineStr">
        <is>
          <t>—</t>
        </is>
      </c>
    </row>
    <row r="45" ht="21.75" customHeight="1" s="111">
      <c r="A45" s="45" t="inlineStr">
        <is>
          <t>ARGYL-LWSVH 138KV</t>
        </is>
      </c>
      <c r="B45" s="46" t="inlineStr">
        <is>
          <t>🟡 Watch</t>
        </is>
      </c>
      <c r="C45" s="47" t="inlineStr">
        <is>
          <t>Diboll (1.5%)</t>
        </is>
      </c>
      <c r="D45" s="48" t="n">
        <v>0.01469</v>
      </c>
      <c r="E45" s="49" t="inlineStr">
        <is>
          <t>—</t>
        </is>
      </c>
      <c r="F45" s="49" t="inlineStr">
        <is>
          <t>—</t>
        </is>
      </c>
      <c r="G45" s="49" t="inlineStr">
        <is>
          <t>—</t>
        </is>
      </c>
      <c r="H45" s="49" t="inlineStr">
        <is>
          <t>—</t>
        </is>
      </c>
      <c r="I45" s="49" t="inlineStr">
        <is>
          <t>—</t>
        </is>
      </c>
      <c r="J45" s="49" t="inlineStr">
        <is>
          <t>—</t>
        </is>
      </c>
      <c r="K45" s="49" t="inlineStr">
        <is>
          <t>—</t>
        </is>
      </c>
      <c r="L45" s="49" t="inlineStr">
        <is>
          <t>—</t>
        </is>
      </c>
      <c r="M45" s="49" t="inlineStr">
        <is>
          <t>—</t>
        </is>
      </c>
      <c r="N45" s="49" t="inlineStr">
        <is>
          <t>—</t>
        </is>
      </c>
      <c r="O45" s="49" t="inlineStr">
        <is>
          <t>—</t>
        </is>
      </c>
      <c r="P45" s="52">
        <f>$D4*0.01469</f>
        <v>2.89393</v>
      </c>
      <c r="Q45" s="49" t="inlineStr">
        <is>
          <t>—</t>
        </is>
      </c>
    </row>
    <row r="46" ht="21.75" customHeight="1" s="111">
      <c r="A46" s="45" t="inlineStr">
        <is>
          <t>NORTMC-CROSSOVE 138KV</t>
        </is>
      </c>
      <c r="B46" s="46" t="inlineStr">
        <is>
          <t>🟡 Watch</t>
        </is>
      </c>
      <c r="C46" s="47" t="inlineStr">
        <is>
          <t>Russek (34.2%)</t>
        </is>
      </c>
      <c r="D46" s="48" t="n">
        <v>0.34171</v>
      </c>
      <c r="E46" s="50">
        <f>$D4*0.34171</f>
        <v>67.31687000000001</v>
      </c>
      <c r="F46" s="49" t="inlineStr">
        <is>
          <t>—</t>
        </is>
      </c>
      <c r="G46" s="49" t="inlineStr">
        <is>
          <t>—</t>
        </is>
      </c>
      <c r="H46" s="52">
        <f>$D4*0.09187</f>
        <v>18.09839</v>
      </c>
      <c r="I46" s="52">
        <f>$D4*0.057</f>
        <v>11.229000000000001</v>
      </c>
      <c r="J46" s="49" t="inlineStr">
        <is>
          <t>—</t>
        </is>
      </c>
      <c r="K46" s="51">
        <f>$D4*-0.028</f>
        <v>-5.516</v>
      </c>
      <c r="L46" s="51">
        <f>$D4*-0.0235</f>
        <v>-4.6295</v>
      </c>
      <c r="M46" s="49" t="inlineStr">
        <is>
          <t>—</t>
        </is>
      </c>
      <c r="N46" s="49" t="inlineStr">
        <is>
          <t>—</t>
        </is>
      </c>
      <c r="O46" s="49" t="inlineStr">
        <is>
          <t>—</t>
        </is>
      </c>
      <c r="P46" s="49" t="inlineStr">
        <is>
          <t>—</t>
        </is>
      </c>
      <c r="Q46" s="49" t="inlineStr">
        <is>
          <t>—</t>
        </is>
      </c>
    </row>
    <row r="47" ht="21.75" customHeight="1" s="111">
      <c r="A47" s="45" t="inlineStr">
        <is>
          <t>LA_PALMA-HAINE_DR 138KV</t>
        </is>
      </c>
      <c r="B47" s="46" t="inlineStr">
        <is>
          <t>🟡 Watch</t>
        </is>
      </c>
      <c r="C47" s="47" t="inlineStr">
        <is>
          <t>Val Verde (1.9%)</t>
        </is>
      </c>
      <c r="D47" s="48" t="n">
        <v>0.018556</v>
      </c>
      <c r="E47" s="49" t="inlineStr">
        <is>
          <t>—</t>
        </is>
      </c>
      <c r="F47" s="49" t="inlineStr">
        <is>
          <t>—</t>
        </is>
      </c>
      <c r="G47" s="52">
        <f>$D4*0.01138</f>
        <v>2.24186</v>
      </c>
      <c r="H47" s="49" t="inlineStr">
        <is>
          <t>—</t>
        </is>
      </c>
      <c r="I47" s="49" t="inlineStr">
        <is>
          <t>—</t>
        </is>
      </c>
      <c r="J47" s="49" t="inlineStr">
        <is>
          <t>—</t>
        </is>
      </c>
      <c r="K47" s="49" t="inlineStr">
        <is>
          <t>—</t>
        </is>
      </c>
      <c r="L47" s="49" t="inlineStr">
        <is>
          <t>—</t>
        </is>
      </c>
      <c r="M47" s="52">
        <f>$D4*0.01856</f>
        <v>3.65632</v>
      </c>
      <c r="N47" s="49" t="inlineStr">
        <is>
          <t>—</t>
        </is>
      </c>
      <c r="O47" s="49" t="inlineStr">
        <is>
          <t>—</t>
        </is>
      </c>
      <c r="P47" s="49" t="inlineStr">
        <is>
          <t>—</t>
        </is>
      </c>
      <c r="Q47" s="49" t="inlineStr">
        <is>
          <t>—</t>
        </is>
      </c>
    </row>
    <row r="48" ht="21.75" customHeight="1" s="111">
      <c r="A48" s="45" t="inlineStr">
        <is>
          <t>GN-PZ 138KV</t>
        </is>
      </c>
      <c r="B48" s="46" t="inlineStr">
        <is>
          <t>🟡 Watch</t>
        </is>
      </c>
      <c r="C48" s="47" t="inlineStr">
        <is>
          <t>Mainland (18.3%)</t>
        </is>
      </c>
      <c r="D48" s="48" t="n">
        <v>0.18322</v>
      </c>
      <c r="E48" s="49" t="inlineStr">
        <is>
          <t>—</t>
        </is>
      </c>
      <c r="F48" s="49" t="inlineStr">
        <is>
          <t>—</t>
        </is>
      </c>
      <c r="G48" s="49" t="inlineStr">
        <is>
          <t>—</t>
        </is>
      </c>
      <c r="H48" s="49" t="inlineStr">
        <is>
          <t>—</t>
        </is>
      </c>
      <c r="I48" s="49" t="inlineStr">
        <is>
          <t>—</t>
        </is>
      </c>
      <c r="J48" s="49" t="inlineStr">
        <is>
          <t>—</t>
        </is>
      </c>
      <c r="K48" s="49" t="inlineStr">
        <is>
          <t>—</t>
        </is>
      </c>
      <c r="L48" s="49" t="inlineStr">
        <is>
          <t>—</t>
        </is>
      </c>
      <c r="M48" s="49" t="inlineStr">
        <is>
          <t>—</t>
        </is>
      </c>
      <c r="N48" s="50">
        <f>$D4*0.18322</f>
        <v>36.094339999999995</v>
      </c>
      <c r="O48" s="49" t="inlineStr">
        <is>
          <t>—</t>
        </is>
      </c>
      <c r="P48" s="49" t="inlineStr">
        <is>
          <t>—</t>
        </is>
      </c>
      <c r="Q48" s="49" t="inlineStr">
        <is>
          <t>—</t>
        </is>
      </c>
    </row>
    <row r="49" ht="21.75" customHeight="1" s="111">
      <c r="A49" s="45" t="inlineStr">
        <is>
          <t>PILONCIL-NLARSW 138KV</t>
        </is>
      </c>
      <c r="B49" s="46" t="inlineStr">
        <is>
          <t>🟡 Watch</t>
        </is>
      </c>
      <c r="C49" s="47" t="inlineStr">
        <is>
          <t>Holcomb (23.8%)</t>
        </is>
      </c>
      <c r="D49" s="48" t="n">
        <v>0.23807</v>
      </c>
      <c r="E49" s="49" t="inlineStr">
        <is>
          <t>—</t>
        </is>
      </c>
      <c r="F49" s="51">
        <f>$D4*-0.26481</f>
        <v>-52.16757</v>
      </c>
      <c r="G49" s="50">
        <f>$D4*0.23807</f>
        <v>46.89979</v>
      </c>
      <c r="H49" s="51">
        <f>$D4*-0.09445</f>
        <v>-18.606650000000002</v>
      </c>
      <c r="I49" s="51">
        <f>$D4*-0.12963</f>
        <v>-25.53711</v>
      </c>
      <c r="J49" s="49" t="inlineStr">
        <is>
          <t>—</t>
        </is>
      </c>
      <c r="K49" s="49" t="inlineStr">
        <is>
          <t>—</t>
        </is>
      </c>
      <c r="L49" s="49" t="inlineStr">
        <is>
          <t>—</t>
        </is>
      </c>
      <c r="M49" s="52">
        <f>$D4*0.076</f>
        <v>14.972</v>
      </c>
      <c r="N49" s="49" t="inlineStr">
        <is>
          <t>—</t>
        </is>
      </c>
      <c r="O49" s="49" t="inlineStr">
        <is>
          <t>—</t>
        </is>
      </c>
      <c r="P49" s="49" t="inlineStr">
        <is>
          <t>—</t>
        </is>
      </c>
      <c r="Q49" s="49" t="inlineStr">
        <is>
          <t>—</t>
        </is>
      </c>
    </row>
    <row r="50" ht="21.75" customHeight="1" s="111">
      <c r="A50" s="45" t="inlineStr">
        <is>
          <t>MV_BURNS-MV_HBRG4 138KV</t>
        </is>
      </c>
      <c r="B50" s="46" t="inlineStr">
        <is>
          <t>🟡 Watch</t>
        </is>
      </c>
      <c r="C50" s="47" t="inlineStr">
        <is>
          <t>Val Verde (15.3%)</t>
        </is>
      </c>
      <c r="D50" s="48" t="n">
        <v>0.15343</v>
      </c>
      <c r="E50" s="49" t="inlineStr">
        <is>
          <t>—</t>
        </is>
      </c>
      <c r="F50" s="49" t="inlineStr">
        <is>
          <t>—</t>
        </is>
      </c>
      <c r="G50" s="49" t="inlineStr">
        <is>
          <t>—</t>
        </is>
      </c>
      <c r="H50" s="49" t="inlineStr">
        <is>
          <t>—</t>
        </is>
      </c>
      <c r="I50" s="49" t="inlineStr">
        <is>
          <t>—</t>
        </is>
      </c>
      <c r="J50" s="49" t="inlineStr">
        <is>
          <t>—</t>
        </is>
      </c>
      <c r="K50" s="49" t="inlineStr">
        <is>
          <t>—</t>
        </is>
      </c>
      <c r="L50" s="49" t="inlineStr">
        <is>
          <t>—</t>
        </is>
      </c>
      <c r="M50" s="50">
        <f>$D4*0.15343</f>
        <v>30.225710000000003</v>
      </c>
      <c r="N50" s="49" t="inlineStr">
        <is>
          <t>—</t>
        </is>
      </c>
      <c r="O50" s="49" t="inlineStr">
        <is>
          <t>—</t>
        </is>
      </c>
      <c r="P50" s="49" t="inlineStr">
        <is>
          <t>—</t>
        </is>
      </c>
      <c r="Q50" s="49" t="inlineStr">
        <is>
          <t>—</t>
        </is>
      </c>
    </row>
    <row r="51" ht="21.75" customHeight="1" s="111">
      <c r="A51" s="45" t="inlineStr">
        <is>
          <t>CATARINA-ASHERTON 138KV</t>
        </is>
      </c>
      <c r="B51" s="46" t="inlineStr">
        <is>
          <t>🟡 Watch</t>
        </is>
      </c>
      <c r="C51" s="47" t="inlineStr">
        <is>
          <t>Hamilton (7.2%)</t>
        </is>
      </c>
      <c r="D51" s="48" t="n">
        <v>0.0722</v>
      </c>
      <c r="E51" s="49" t="inlineStr">
        <is>
          <t>—</t>
        </is>
      </c>
      <c r="F51" s="51">
        <f>$D4*-0.732</f>
        <v>-144.204</v>
      </c>
      <c r="G51" s="51">
        <f>$D4*-0.09013</f>
        <v>-17.75561</v>
      </c>
      <c r="H51" s="52">
        <f>$D4*0.0722</f>
        <v>14.2234</v>
      </c>
      <c r="I51" s="49" t="inlineStr">
        <is>
          <t>—</t>
        </is>
      </c>
      <c r="J51" s="49" t="inlineStr">
        <is>
          <t>—</t>
        </is>
      </c>
      <c r="K51" s="49" t="inlineStr">
        <is>
          <t>—</t>
        </is>
      </c>
      <c r="L51" s="49" t="inlineStr">
        <is>
          <t>—</t>
        </is>
      </c>
      <c r="M51" s="51">
        <f>$D4*-0.0514</f>
        <v>-10.1258</v>
      </c>
      <c r="N51" s="49" t="inlineStr">
        <is>
          <t>—</t>
        </is>
      </c>
      <c r="O51" s="49" t="inlineStr">
        <is>
          <t>—</t>
        </is>
      </c>
      <c r="P51" s="49" t="inlineStr">
        <is>
          <t>—</t>
        </is>
      </c>
      <c r="Q51" s="49" t="inlineStr">
        <is>
          <t>—</t>
        </is>
      </c>
    </row>
    <row r="52" ht="21.75" customHeight="1" s="111">
      <c r="A52" s="45" t="inlineStr">
        <is>
          <t>BR-HOC 138KV</t>
        </is>
      </c>
      <c r="B52" s="46" t="inlineStr">
        <is>
          <t>🟡 Watch</t>
        </is>
      </c>
      <c r="C52" s="47" t="inlineStr">
        <is>
          <t>Mainland (9.5%)</t>
        </is>
      </c>
      <c r="D52" s="48" t="n">
        <v>0.09515</v>
      </c>
      <c r="E52" s="49" t="inlineStr">
        <is>
          <t>—</t>
        </is>
      </c>
      <c r="F52" s="49" t="inlineStr">
        <is>
          <t>—</t>
        </is>
      </c>
      <c r="G52" s="49" t="inlineStr">
        <is>
          <t>—</t>
        </is>
      </c>
      <c r="H52" s="49" t="inlineStr">
        <is>
          <t>—</t>
        </is>
      </c>
      <c r="I52" s="49" t="inlineStr">
        <is>
          <t>—</t>
        </is>
      </c>
      <c r="J52" s="49" t="inlineStr">
        <is>
          <t>—</t>
        </is>
      </c>
      <c r="K52" s="49" t="inlineStr">
        <is>
          <t>—</t>
        </is>
      </c>
      <c r="L52" s="49" t="inlineStr">
        <is>
          <t>—</t>
        </is>
      </c>
      <c r="M52" s="49" t="inlineStr">
        <is>
          <t>—</t>
        </is>
      </c>
      <c r="N52" s="52">
        <f>$D4*0.09515</f>
        <v>18.74455</v>
      </c>
      <c r="O52" s="49" t="inlineStr">
        <is>
          <t>—</t>
        </is>
      </c>
      <c r="P52" s="49" t="inlineStr">
        <is>
          <t>—</t>
        </is>
      </c>
      <c r="Q52" s="49" t="inlineStr">
        <is>
          <t>—</t>
        </is>
      </c>
    </row>
    <row r="53" ht="21.75" customHeight="1" s="111">
      <c r="A53" s="45" t="inlineStr">
        <is>
          <t>BOW 69KV</t>
        </is>
      </c>
      <c r="B53" s="46" t="inlineStr">
        <is>
          <t>🟡 Watch</t>
        </is>
      </c>
      <c r="C53" s="47" t="inlineStr">
        <is>
          <t>—</t>
        </is>
      </c>
      <c r="D53" s="53" t="n"/>
      <c r="E53" s="49" t="inlineStr">
        <is>
          <t>—</t>
        </is>
      </c>
      <c r="F53" s="49" t="inlineStr">
        <is>
          <t>—</t>
        </is>
      </c>
      <c r="G53" s="49" t="inlineStr">
        <is>
          <t>—</t>
        </is>
      </c>
      <c r="H53" s="49" t="inlineStr">
        <is>
          <t>—</t>
        </is>
      </c>
      <c r="I53" s="49" t="inlineStr">
        <is>
          <t>—</t>
        </is>
      </c>
      <c r="J53" s="49" t="inlineStr">
        <is>
          <t>—</t>
        </is>
      </c>
      <c r="K53" s="49" t="inlineStr">
        <is>
          <t>—</t>
        </is>
      </c>
      <c r="L53" s="49" t="inlineStr">
        <is>
          <t>—</t>
        </is>
      </c>
      <c r="M53" s="49" t="inlineStr">
        <is>
          <t>—</t>
        </is>
      </c>
      <c r="N53" s="49" t="inlineStr">
        <is>
          <t>—</t>
        </is>
      </c>
      <c r="O53" s="49" t="inlineStr">
        <is>
          <t>—</t>
        </is>
      </c>
      <c r="P53" s="49" t="inlineStr">
        <is>
          <t>—</t>
        </is>
      </c>
      <c r="Q53" s="51">
        <f>$D4*-0.05</f>
        <v>-9.850000000000001</v>
      </c>
    </row>
    <row r="54" ht="21.75" customHeight="1" s="111">
      <c r="A54" s="45" t="inlineStr">
        <is>
          <t>MCCAMY</t>
        </is>
      </c>
      <c r="B54" s="46" t="inlineStr">
        <is>
          <t>🟡 Watch</t>
        </is>
      </c>
      <c r="C54" s="47" t="inlineStr">
        <is>
          <t>—</t>
        </is>
      </c>
      <c r="D54" s="53" t="n"/>
      <c r="E54" s="51">
        <f>$D4*-0.24657</f>
        <v>-48.574290000000005</v>
      </c>
      <c r="F54" s="49" t="inlineStr">
        <is>
          <t>—</t>
        </is>
      </c>
      <c r="G54" s="49" t="inlineStr">
        <is>
          <t>—</t>
        </is>
      </c>
      <c r="H54" s="51">
        <f>$D4*-0.11282</f>
        <v>-22.225540000000002</v>
      </c>
      <c r="I54" s="51">
        <f>$D4*-0.06874</f>
        <v>-13.54178</v>
      </c>
      <c r="J54" s="49" t="inlineStr">
        <is>
          <t>—</t>
        </is>
      </c>
      <c r="K54" s="49" t="inlineStr">
        <is>
          <t>—</t>
        </is>
      </c>
      <c r="L54" s="49" t="inlineStr">
        <is>
          <t>—</t>
        </is>
      </c>
      <c r="M54" s="49" t="inlineStr">
        <is>
          <t>—</t>
        </is>
      </c>
      <c r="N54" s="49" t="inlineStr">
        <is>
          <t>—</t>
        </is>
      </c>
      <c r="O54" s="49" t="inlineStr">
        <is>
          <t>—</t>
        </is>
      </c>
      <c r="P54" s="49" t="inlineStr">
        <is>
          <t>—</t>
        </is>
      </c>
      <c r="Q54" s="49" t="inlineStr">
        <is>
          <t>—</t>
        </is>
      </c>
    </row>
    <row r="55" ht="21.75" customHeight="1" s="111">
      <c r="A55" s="45" t="inlineStr">
        <is>
          <t>CMNSW-CMNTP 138KV</t>
        </is>
      </c>
      <c r="B55" s="46" t="inlineStr">
        <is>
          <t>🟡 Watch</t>
        </is>
      </c>
      <c r="C55" s="47" t="inlineStr">
        <is>
          <t>Cisco (5.0%)</t>
        </is>
      </c>
      <c r="D55" s="48" t="n">
        <v>0.05</v>
      </c>
      <c r="E55" s="49" t="inlineStr">
        <is>
          <t>—</t>
        </is>
      </c>
      <c r="F55" s="49" t="inlineStr">
        <is>
          <t>—</t>
        </is>
      </c>
      <c r="G55" s="49" t="inlineStr">
        <is>
          <t>—</t>
        </is>
      </c>
      <c r="H55" s="49" t="inlineStr">
        <is>
          <t>—</t>
        </is>
      </c>
      <c r="I55" s="49" t="inlineStr">
        <is>
          <t>—</t>
        </is>
      </c>
      <c r="J55" s="49" t="inlineStr">
        <is>
          <t>—</t>
        </is>
      </c>
      <c r="K55" s="49" t="inlineStr">
        <is>
          <t>—</t>
        </is>
      </c>
      <c r="L55" s="49" t="inlineStr">
        <is>
          <t>—</t>
        </is>
      </c>
      <c r="M55" s="49" t="inlineStr">
        <is>
          <t>—</t>
        </is>
      </c>
      <c r="N55" s="49" t="inlineStr">
        <is>
          <t>—</t>
        </is>
      </c>
      <c r="O55" s="52">
        <f>$D4*0.05</f>
        <v>9.850000000000001</v>
      </c>
      <c r="P55" s="49" t="inlineStr">
        <is>
          <t>—</t>
        </is>
      </c>
      <c r="Q55" s="49" t="inlineStr">
        <is>
          <t>—</t>
        </is>
      </c>
    </row>
    <row r="56" ht="21.75" customHeight="1" s="111">
      <c r="A56" s="45" t="inlineStr">
        <is>
          <t>UVALDE-READING 138KV</t>
        </is>
      </c>
      <c r="B56" s="46" t="inlineStr">
        <is>
          <t>🟡 Watch</t>
        </is>
      </c>
      <c r="C56" s="47" t="inlineStr">
        <is>
          <t>—</t>
        </is>
      </c>
      <c r="D56" s="53" t="n"/>
      <c r="E56" s="49" t="inlineStr">
        <is>
          <t>—</t>
        </is>
      </c>
      <c r="F56" s="51">
        <f>$D4*-0.08093</f>
        <v>-15.94321</v>
      </c>
      <c r="G56" s="49" t="inlineStr">
        <is>
          <t>—</t>
        </is>
      </c>
      <c r="H56" s="51">
        <f>$D4*-0.20464</f>
        <v>-40.31408</v>
      </c>
      <c r="I56" s="51">
        <f>$D4*-0.08935</f>
        <v>-17.60195</v>
      </c>
      <c r="J56" s="49" t="inlineStr">
        <is>
          <t>—</t>
        </is>
      </c>
      <c r="K56" s="49" t="inlineStr">
        <is>
          <t>—</t>
        </is>
      </c>
      <c r="L56" s="49" t="inlineStr">
        <is>
          <t>—</t>
        </is>
      </c>
      <c r="M56" s="49" t="inlineStr">
        <is>
          <t>—</t>
        </is>
      </c>
      <c r="N56" s="49" t="inlineStr">
        <is>
          <t>—</t>
        </is>
      </c>
      <c r="O56" s="49" t="inlineStr">
        <is>
          <t>—</t>
        </is>
      </c>
      <c r="P56" s="49" t="inlineStr">
        <is>
          <t>—</t>
        </is>
      </c>
      <c r="Q56" s="49" t="inlineStr">
        <is>
          <t>—</t>
        </is>
      </c>
    </row>
    <row r="57" ht="21.75" customHeight="1" s="111">
      <c r="A57" s="45" t="inlineStr">
        <is>
          <t>WOLFCAMP-SANTARIT 138KV</t>
        </is>
      </c>
      <c r="B57" s="46" t="inlineStr">
        <is>
          <t>🟡 Watch</t>
        </is>
      </c>
      <c r="C57" s="47" t="inlineStr">
        <is>
          <t>Russek (31.7%)</t>
        </is>
      </c>
      <c r="D57" s="48" t="n">
        <v>0.31739</v>
      </c>
      <c r="E57" s="50">
        <f>$D4*0.31739</f>
        <v>62.52583</v>
      </c>
      <c r="F57" s="49" t="inlineStr">
        <is>
          <t>—</t>
        </is>
      </c>
      <c r="G57" s="49" t="inlineStr">
        <is>
          <t>—</t>
        </is>
      </c>
      <c r="H57" s="49" t="inlineStr">
        <is>
          <t>—</t>
        </is>
      </c>
      <c r="I57" s="49" t="inlineStr">
        <is>
          <t>—</t>
        </is>
      </c>
      <c r="J57" s="49" t="inlineStr">
        <is>
          <t>—</t>
        </is>
      </c>
      <c r="K57" s="49" t="inlineStr">
        <is>
          <t>—</t>
        </is>
      </c>
      <c r="L57" s="49" t="inlineStr">
        <is>
          <t>—</t>
        </is>
      </c>
      <c r="M57" s="49" t="inlineStr">
        <is>
          <t>—</t>
        </is>
      </c>
      <c r="N57" s="49" t="inlineStr">
        <is>
          <t>—</t>
        </is>
      </c>
      <c r="O57" s="49" t="inlineStr">
        <is>
          <t>—</t>
        </is>
      </c>
      <c r="P57" s="49" t="inlineStr">
        <is>
          <t>—</t>
        </is>
      </c>
      <c r="Q57" s="49" t="inlineStr">
        <is>
          <t>—</t>
        </is>
      </c>
    </row>
    <row r="58" ht="21.75" customHeight="1" s="111">
      <c r="A58" s="45" t="inlineStr">
        <is>
          <t>LHSES-PRCSW 138KV</t>
        </is>
      </c>
      <c r="B58" s="46" t="inlineStr">
        <is>
          <t>🟡 Watch</t>
        </is>
      </c>
      <c r="C58" s="47" t="inlineStr">
        <is>
          <t>—</t>
        </is>
      </c>
      <c r="D58" s="53" t="n"/>
      <c r="E58" s="49" t="inlineStr">
        <is>
          <t>—</t>
        </is>
      </c>
      <c r="F58" s="49" t="inlineStr">
        <is>
          <t>—</t>
        </is>
      </c>
      <c r="G58" s="49" t="inlineStr">
        <is>
          <t>—</t>
        </is>
      </c>
      <c r="H58" s="49" t="inlineStr">
        <is>
          <t>—</t>
        </is>
      </c>
      <c r="I58" s="49" t="inlineStr">
        <is>
          <t>—</t>
        </is>
      </c>
      <c r="J58" s="49" t="inlineStr">
        <is>
          <t>—</t>
        </is>
      </c>
      <c r="K58" s="49" t="inlineStr">
        <is>
          <t>—</t>
        </is>
      </c>
      <c r="L58" s="49" t="inlineStr">
        <is>
          <t>—</t>
        </is>
      </c>
      <c r="M58" s="49" t="inlineStr">
        <is>
          <t>—</t>
        </is>
      </c>
      <c r="N58" s="49" t="inlineStr">
        <is>
          <t>—</t>
        </is>
      </c>
      <c r="O58" s="49" t="inlineStr">
        <is>
          <t>—</t>
        </is>
      </c>
      <c r="P58" s="51">
        <f>$D4*-0.05</f>
        <v>-9.850000000000001</v>
      </c>
      <c r="Q58" s="49" t="inlineStr">
        <is>
          <t>—</t>
        </is>
      </c>
    </row>
    <row r="59" ht="21.75" customHeight="1" s="111">
      <c r="A59" s="45" t="inlineStr">
        <is>
          <t>LAREDO-DEL_MAR 138KV</t>
        </is>
      </c>
      <c r="B59" s="46" t="inlineStr">
        <is>
          <t>🟡 Watch</t>
        </is>
      </c>
      <c r="C59" s="47" t="inlineStr">
        <is>
          <t>Holcomb (6.0%)</t>
        </is>
      </c>
      <c r="D59" s="48" t="n">
        <v>0.06</v>
      </c>
      <c r="E59" s="49" t="inlineStr">
        <is>
          <t>—</t>
        </is>
      </c>
      <c r="F59" s="49" t="inlineStr">
        <is>
          <t>—</t>
        </is>
      </c>
      <c r="G59" s="52">
        <f>$D4*0.06</f>
        <v>11.82</v>
      </c>
      <c r="H59" s="49" t="inlineStr">
        <is>
          <t>—</t>
        </is>
      </c>
      <c r="I59" s="49" t="inlineStr">
        <is>
          <t>—</t>
        </is>
      </c>
      <c r="J59" s="49" t="inlineStr">
        <is>
          <t>—</t>
        </is>
      </c>
      <c r="K59" s="49" t="inlineStr">
        <is>
          <t>—</t>
        </is>
      </c>
      <c r="L59" s="49" t="inlineStr">
        <is>
          <t>—</t>
        </is>
      </c>
      <c r="M59" s="49" t="inlineStr">
        <is>
          <t>—</t>
        </is>
      </c>
      <c r="N59" s="49" t="inlineStr">
        <is>
          <t>—</t>
        </is>
      </c>
      <c r="O59" s="49" t="inlineStr">
        <is>
          <t>—</t>
        </is>
      </c>
      <c r="P59" s="49" t="inlineStr">
        <is>
          <t>—</t>
        </is>
      </c>
      <c r="Q59" s="49" t="inlineStr">
        <is>
          <t>—</t>
        </is>
      </c>
    </row>
    <row r="60" ht="21.75" customHeight="1" s="111">
      <c r="A60" s="45" t="inlineStr">
        <is>
          <t>COLETO CREEK-VICTORIA</t>
        </is>
      </c>
      <c r="B60" s="46" t="inlineStr">
        <is>
          <t>🟡 Watch</t>
        </is>
      </c>
      <c r="C60" s="47" t="inlineStr">
        <is>
          <t>—</t>
        </is>
      </c>
      <c r="D60" s="53" t="n"/>
      <c r="E60" s="49" t="inlineStr">
        <is>
          <t>—</t>
        </is>
      </c>
      <c r="F60" s="49" t="inlineStr">
        <is>
          <t>—</t>
        </is>
      </c>
      <c r="G60" s="49" t="inlineStr">
        <is>
          <t>—</t>
        </is>
      </c>
      <c r="H60" s="49" t="inlineStr">
        <is>
          <t>—</t>
        </is>
      </c>
      <c r="I60" s="49" t="inlineStr">
        <is>
          <t>—</t>
        </is>
      </c>
      <c r="J60" s="49" t="inlineStr">
        <is>
          <t>—</t>
        </is>
      </c>
      <c r="K60" s="49" t="inlineStr">
        <is>
          <t>—</t>
        </is>
      </c>
      <c r="L60" s="49" t="inlineStr">
        <is>
          <t>—</t>
        </is>
      </c>
      <c r="M60" s="51">
        <f>$D4*-0.0917</f>
        <v>-18.0649</v>
      </c>
      <c r="N60" s="49" t="inlineStr">
        <is>
          <t>—</t>
        </is>
      </c>
      <c r="O60" s="49" t="inlineStr">
        <is>
          <t>—</t>
        </is>
      </c>
      <c r="P60" s="49" t="inlineStr">
        <is>
          <t>—</t>
        </is>
      </c>
      <c r="Q60" s="49" t="inlineStr">
        <is>
          <t>—</t>
        </is>
      </c>
    </row>
    <row r="61" ht="21.75" customHeight="1" s="111">
      <c r="A61" s="45" t="inlineStr">
        <is>
          <t>FMRVL-RYSSW 345KV</t>
        </is>
      </c>
      <c r="B61" s="46" t="inlineStr">
        <is>
          <t>🟡 Watch</t>
        </is>
      </c>
      <c r="C61" s="47" t="inlineStr">
        <is>
          <t>Diboll (5.2%)</t>
        </is>
      </c>
      <c r="D61" s="48" t="n">
        <v>0.05227</v>
      </c>
      <c r="E61" s="49" t="inlineStr">
        <is>
          <t>—</t>
        </is>
      </c>
      <c r="F61" s="49" t="inlineStr">
        <is>
          <t>—</t>
        </is>
      </c>
      <c r="G61" s="49" t="inlineStr">
        <is>
          <t>—</t>
        </is>
      </c>
      <c r="H61" s="49" t="inlineStr">
        <is>
          <t>—</t>
        </is>
      </c>
      <c r="I61" s="49" t="inlineStr">
        <is>
          <t>—</t>
        </is>
      </c>
      <c r="J61" s="49" t="inlineStr">
        <is>
          <t>—</t>
        </is>
      </c>
      <c r="K61" s="49" t="inlineStr">
        <is>
          <t>—</t>
        </is>
      </c>
      <c r="L61" s="49" t="inlineStr">
        <is>
          <t>—</t>
        </is>
      </c>
      <c r="M61" s="49" t="inlineStr">
        <is>
          <t>—</t>
        </is>
      </c>
      <c r="N61" s="49" t="inlineStr">
        <is>
          <t>—</t>
        </is>
      </c>
      <c r="O61" s="49" t="inlineStr">
        <is>
          <t>—</t>
        </is>
      </c>
      <c r="P61" s="52">
        <f>$D4*0.05227</f>
        <v>10.297189999999999</v>
      </c>
      <c r="Q61" s="51">
        <f>$D4*-0.03425</f>
        <v>-6.74725</v>
      </c>
    </row>
    <row r="63" ht="36" customHeight="1" s="111">
      <c r="A63" s="115" t="inlineStr">
        <is>
          <t>NOTE: Negative MCC values (in red) indicate the node BENEFITS from the constraint — congestion lowers prices at that node. Positive MCC = congestion increases prices at your node.</t>
        </is>
      </c>
    </row>
  </sheetData>
  <mergeCells count="5">
    <mergeCell ref="A63:P63"/>
    <mergeCell ref="A1:P1"/>
    <mergeCell ref="E4:H4"/>
    <mergeCell ref="A4:C4"/>
    <mergeCell ref="A2:P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65100"/>
    <outlinePr summaryBelow="1" summaryRight="1"/>
    <pageSetUpPr/>
  </sheetPr>
  <dimension ref="A1:N44"/>
  <sheetViews>
    <sheetView zoomScaleNormal="100" workbookViewId="0">
      <pane xSplit="1" ySplit="3" topLeftCell="B8" activePane="bottomRight" state="frozen"/>
      <selection pane="topRight" activeCell="B1" sqref="B1"/>
      <selection pane="bottomLeft" activeCell="A4" sqref="A4"/>
      <selection pane="bottomRight" activeCell="O10" sqref="O10"/>
    </sheetView>
  </sheetViews>
  <sheetFormatPr baseColWidth="8" defaultColWidth="8.7109375" defaultRowHeight="15"/>
  <cols>
    <col width="27.85546875" bestFit="1" customWidth="1" style="111" min="1" max="1"/>
    <col width="9.7109375" bestFit="1" customWidth="1" style="111" min="2" max="2"/>
    <col width="12.42578125" bestFit="1" customWidth="1" style="111" min="3" max="3"/>
    <col width="40" customWidth="1" style="111" min="4" max="4"/>
    <col width="12.85546875" bestFit="1" customWidth="1" style="111" min="5" max="5"/>
    <col width="6.5703125" bestFit="1" customWidth="1" style="111" min="6" max="6"/>
    <col width="8.140625" bestFit="1" customWidth="1" style="111" min="7" max="7"/>
    <col width="9.140625" bestFit="1" customWidth="1" style="111" min="8" max="8"/>
    <col width="26" bestFit="1" customWidth="1" style="111" min="9" max="9"/>
    <col width="19.7109375" bestFit="1" customWidth="1" style="111" min="10" max="10"/>
    <col width="14.42578125" bestFit="1" customWidth="1" style="111" min="11" max="11"/>
    <col width="30.28515625" bestFit="1" customWidth="1" style="111" min="12" max="12"/>
  </cols>
  <sheetData>
    <row r="1" ht="18" customHeight="1" s="111">
      <c r="A1" s="112" t="inlineStr">
        <is>
          <t>SUMMER CONGESTION PLAYBOOK  |  Jun – Aug</t>
        </is>
      </c>
    </row>
    <row r="2">
      <c r="A2" s="120" t="inlineStr">
        <is>
          <t>Summer peak load. South/coastal wind gen key driver. Monitor west load 9GW+.</t>
        </is>
      </c>
    </row>
    <row r="3" ht="25.5" customHeight="1" s="111">
      <c r="A3" s="7" t="inlineStr">
        <is>
          <t>Line / Constraint</t>
        </is>
      </c>
      <c r="B3" s="7" t="inlineStr">
        <is>
          <t>Priority</t>
        </is>
      </c>
      <c r="C3" s="7" t="inlineStr">
        <is>
          <t>Peak HE
(Best Hours)</t>
        </is>
      </c>
      <c r="D3" s="7" t="inlineStr">
        <is>
          <t>Driver / Trigger</t>
        </is>
      </c>
      <c r="E3" s="7" t="inlineStr">
        <is>
          <t>Primary Node</t>
        </is>
      </c>
      <c r="F3" s="7" t="inlineStr">
        <is>
          <t>SF (%)</t>
        </is>
      </c>
      <c r="G3" s="7" t="inlineStr">
        <is>
          <t>MCC @
$500 SP</t>
        </is>
      </c>
      <c r="H3" s="7" t="inlineStr">
        <is>
          <t>MCC @
$1000 SP</t>
        </is>
      </c>
      <c r="I3" s="7" t="inlineStr">
        <is>
          <t>Discharge
Guidance</t>
        </is>
      </c>
      <c r="J3" s="7" t="inlineStr">
        <is>
          <t>Hold
Strategy?</t>
        </is>
      </c>
      <c r="K3" s="7" t="inlineStr">
        <is>
          <t>Key Gen Level
Threshold</t>
        </is>
      </c>
      <c r="L3" s="7" t="inlineStr">
        <is>
          <t>Operator
Notes</t>
        </is>
      </c>
    </row>
    <row r="4">
      <c r="A4" s="121" t="inlineStr">
        <is>
          <t>🟢  ACTIVE LINES — Priority Targets for Jun – Aug</t>
        </is>
      </c>
    </row>
    <row r="5" ht="38.25" customHeight="1" s="111">
      <c r="A5" s="8" t="inlineStr">
        <is>
          <t>TWINBU-HARGROVE 138KV</t>
        </is>
      </c>
      <c r="B5" s="9" t="inlineStr">
        <is>
          <t>🟢 Active</t>
        </is>
      </c>
      <c r="C5" s="11" t="inlineStr">
        <is>
          <t>HE5, HE6, HE4</t>
        </is>
      </c>
      <c r="D5" s="10" t="inlineStr">
        <is>
          <t>West wind sub 5GW is when we see it strongest. Possible to see around sub 8Gw</t>
        </is>
      </c>
      <c r="E5" s="11" t="inlineStr">
        <is>
          <t>Russek (31.7%)</t>
        </is>
      </c>
      <c r="F5" s="12" t="n">
        <v>0.31665</v>
      </c>
      <c r="G5" s="13" t="n">
        <v>158.325</v>
      </c>
      <c r="H5" s="13" t="n">
        <v>316.65</v>
      </c>
      <c r="I5" s="10" t="inlineStr">
        <is>
          <t>Discharge at SP ≥ $300-500/MWh
(MCC $158+ at primary node)</t>
        </is>
      </c>
      <c r="J5" s="10" t="inlineStr">
        <is>
          <t>Yes — hold for higher pricing overnight</t>
        </is>
      </c>
      <c r="K5" s="10" t="n"/>
      <c r="L5" s="10" t="inlineStr">
        <is>
          <t>Willing to sit on high pricing HE20-24.</t>
        </is>
      </c>
    </row>
    <row r="6" ht="38.25" customHeight="1" s="111">
      <c r="A6" s="8" t="inlineStr">
        <is>
          <t>LARDVNTH-LASCRUCE 138KV</t>
        </is>
      </c>
      <c r="B6" s="9" t="inlineStr">
        <is>
          <t>🟢 Active</t>
        </is>
      </c>
      <c r="C6" s="11" t="inlineStr">
        <is>
          <t>HE20, HE21, HE22</t>
        </is>
      </c>
      <c r="D6" s="10" t="inlineStr">
        <is>
          <t>Congestion should start popping up soon historically. See when south wind gen gets up to 2GW+ and coastal winds at 2GW+</t>
        </is>
      </c>
      <c r="E6" s="11" t="inlineStr">
        <is>
          <t>Holcomb (29.7%)</t>
        </is>
      </c>
      <c r="F6" s="12" t="n">
        <v>0.29736</v>
      </c>
      <c r="G6" s="13" t="n">
        <v>148.68</v>
      </c>
      <c r="H6" s="13" t="n">
        <v>297.36</v>
      </c>
      <c r="I6" s="10" t="inlineStr">
        <is>
          <t>Discharge at SP ≥ $300-500/MWh
(MCC $149+ at primary node)</t>
        </is>
      </c>
      <c r="J6" s="10" t="inlineStr">
        <is>
          <t>Monitor trend; discharge on confirmed ramp</t>
        </is>
      </c>
      <c r="K6" s="10" t="n"/>
      <c r="L6" s="10" t="n"/>
    </row>
    <row r="7" ht="38.25" customHeight="1" s="111">
      <c r="A7" s="8" t="inlineStr">
        <is>
          <t>FORTMA-YELWJCKT 138KV</t>
        </is>
      </c>
      <c r="B7" s="9" t="inlineStr">
        <is>
          <t>🟢 Active</t>
        </is>
      </c>
      <c r="C7" s="11" t="inlineStr">
        <is>
          <t>HE21, HE20, HE23</t>
        </is>
      </c>
      <c r="D7" s="10" t="inlineStr">
        <is>
          <t>Mostly seen overnight. Correlated when west dips below coastal wind generation. West wind gen generally has to be below 3GW</t>
        </is>
      </c>
      <c r="E7" s="11" t="inlineStr">
        <is>
          <t>Junction (50.0%)</t>
        </is>
      </c>
      <c r="F7" s="12" t="n">
        <v>0.5</v>
      </c>
      <c r="G7" s="13" t="n">
        <v>250</v>
      </c>
      <c r="H7" s="13" t="n">
        <v>500</v>
      </c>
      <c r="I7" s="10" t="inlineStr">
        <is>
          <t>Discharge at SP ≥ $300-500/MWh
(MCC $250+ at primary node)</t>
        </is>
      </c>
      <c r="J7" s="10" t="inlineStr">
        <is>
          <t>Monitor trend; discharge on confirmed ramp</t>
        </is>
      </c>
      <c r="K7" s="10" t="n"/>
      <c r="L7" s="10" t="n"/>
    </row>
    <row r="8" ht="63.75" customHeight="1" s="111">
      <c r="A8" s="8" t="inlineStr">
        <is>
          <t>TREADWEL-YELWJCKT 138KV</t>
        </is>
      </c>
      <c r="B8" s="9" t="inlineStr">
        <is>
          <t>🟢 Active</t>
        </is>
      </c>
      <c r="C8" s="11" t="inlineStr">
        <is>
          <t>HE17, HE18, HE19</t>
        </is>
      </c>
      <c r="D8" s="10" t="inlineStr">
        <is>
          <t>Haven't seen any of this congestion since the RTC switch. Seen when west load reached 9GW+, which we've seen in May but didn't see any congestion. This one may be gone but worth diving into more</t>
        </is>
      </c>
      <c r="E8" s="11" t="inlineStr">
        <is>
          <t>Junction (46.8%)</t>
        </is>
      </c>
      <c r="F8" s="12" t="n">
        <v>0.46755</v>
      </c>
      <c r="G8" s="13" t="n">
        <v>233.775</v>
      </c>
      <c r="H8" s="13" t="n">
        <v>467.55</v>
      </c>
      <c r="I8" s="10" t="inlineStr">
        <is>
          <t>Discharge at SP ≥ $300-500/MWh
(MCC $234+ at primary node)</t>
        </is>
      </c>
      <c r="J8" s="10" t="inlineStr">
        <is>
          <t>Monitor trend; discharge on confirmed ramp</t>
        </is>
      </c>
      <c r="K8" s="10" t="n"/>
      <c r="L8" s="10" t="n"/>
    </row>
    <row r="9" ht="51" customHeight="1" s="111">
      <c r="A9" s="8" t="inlineStr">
        <is>
          <t>WESTEX</t>
        </is>
      </c>
      <c r="B9" s="9" t="inlineStr">
        <is>
          <t>🟢 Active</t>
        </is>
      </c>
      <c r="C9" s="11" t="inlineStr">
        <is>
          <t>HE20, HE19, HE12</t>
        </is>
      </c>
      <c r="D9" s="10" t="inlineStr">
        <is>
          <t>See flare up in days of high renewable generation. Seen in all hours of the day but most common during solar ramps or when west Gen reaches above 15GW overnight.</t>
        </is>
      </c>
      <c r="E9" s="11" t="inlineStr">
        <is>
          <t>Diboll (19.4%)</t>
        </is>
      </c>
      <c r="F9" s="12" t="n">
        <v>0.19396</v>
      </c>
      <c r="G9" s="16" t="n">
        <v>96.98</v>
      </c>
      <c r="H9" s="13" t="n">
        <v>193.96</v>
      </c>
      <c r="I9" s="10" t="inlineStr">
        <is>
          <t>Discharge at SP ≥ $500-800/MWh
(MCC $97+ at node)</t>
        </is>
      </c>
      <c r="J9" s="10" t="inlineStr">
        <is>
          <t>Monitor trend; discharge on confirmed ramp</t>
        </is>
      </c>
      <c r="K9" s="10" t="n"/>
      <c r="L9" s="10" t="n"/>
    </row>
    <row r="10" ht="38.25" customHeight="1" s="111">
      <c r="A10" s="8" t="inlineStr">
        <is>
          <t>LNGSW-PRLSW 345KV</t>
        </is>
      </c>
      <c r="B10" s="9" t="inlineStr">
        <is>
          <t>🟢 Active</t>
        </is>
      </c>
      <c r="C10" s="11" t="inlineStr">
        <is>
          <t>HE1, HE2, HE24</t>
        </is>
      </c>
      <c r="D10" s="10" t="inlineStr">
        <is>
          <t>This congestion is seem mostly overnight. Main driver on this line is when we see west wind gen reach above 10GW.</t>
        </is>
      </c>
      <c r="E10" s="11" t="inlineStr">
        <is>
          <t>Judkins (21.3%)</t>
        </is>
      </c>
      <c r="F10" s="12" t="n">
        <v>0.21329</v>
      </c>
      <c r="G10" s="13" t="n">
        <v>106.645</v>
      </c>
      <c r="H10" s="13" t="n">
        <v>213.29</v>
      </c>
      <c r="I10" s="10" t="inlineStr">
        <is>
          <t>Discharge at SP ≥ $300-500/MWh
(MCC $107+ at primary node)</t>
        </is>
      </c>
      <c r="J10" s="10" t="inlineStr">
        <is>
          <t>Monitor trend; discharge on confirmed ramp</t>
        </is>
      </c>
      <c r="K10" s="10" t="n"/>
      <c r="L10" s="10" t="n"/>
    </row>
    <row r="11" ht="51" customHeight="1" s="111">
      <c r="A11" s="8" t="inlineStr">
        <is>
          <t>E_PASP</t>
        </is>
      </c>
      <c r="B11" s="9" t="inlineStr">
        <is>
          <t>🟢 Active</t>
        </is>
      </c>
      <c r="C11" s="11" t="inlineStr">
        <is>
          <t>HE20, HE19, HE18</t>
        </is>
      </c>
      <c r="D11" s="10" t="inlineStr">
        <is>
          <t>This sends Val Verde negative. Strongest during down ramps best theory for congestion here is when south load reaches 18GW+.</t>
        </is>
      </c>
      <c r="E11" s="11" t="inlineStr">
        <is>
          <t>Junction (4.0%)</t>
        </is>
      </c>
      <c r="F11" s="12" t="n">
        <v>0.04</v>
      </c>
      <c r="G11" s="15" t="n">
        <v>20</v>
      </c>
      <c r="H11" s="15" t="n">
        <v>40</v>
      </c>
      <c r="I11" s="10" t="inlineStr">
        <is>
          <t>Only strong pricing (SP&gt;$2000) creates meaningful MCC</t>
        </is>
      </c>
      <c r="J11" s="10" t="inlineStr">
        <is>
          <t>Monitor trend; discharge on confirmed ramp</t>
        </is>
      </c>
      <c r="K11" s="10" t="n"/>
      <c r="L11" s="10" t="n"/>
    </row>
    <row r="12" ht="38.25" customHeight="1" s="111">
      <c r="A12" s="8" t="inlineStr">
        <is>
          <t>NLARSW-PILONCIL 138KV</t>
        </is>
      </c>
      <c r="B12" s="9" t="inlineStr">
        <is>
          <t>🟢 Active</t>
        </is>
      </c>
      <c r="C12" s="11" t="inlineStr">
        <is>
          <t>HE24, HE1, HE2</t>
        </is>
      </c>
      <c r="D12" s="10" t="inlineStr">
        <is>
          <t>This is a newer congestion… started in Nov 2025. see this congestion with coastal wind gen at 2.5GW+. Same with south wind</t>
        </is>
      </c>
      <c r="E12" s="11" t="inlineStr">
        <is>
          <t>Catarina (26.0%)</t>
        </is>
      </c>
      <c r="F12" s="12" t="n">
        <v>0.26</v>
      </c>
      <c r="G12" s="13" t="n">
        <v>130</v>
      </c>
      <c r="H12" s="13" t="n">
        <v>260</v>
      </c>
      <c r="I12" s="10" t="inlineStr">
        <is>
          <t>Discharge at SP ≥ $300-500/MWh
(MCC $130+ at primary node)</t>
        </is>
      </c>
      <c r="J12" s="10" t="inlineStr">
        <is>
          <t>Monitor trend; discharge on confirmed ramp</t>
        </is>
      </c>
      <c r="K12" s="10" t="n"/>
      <c r="L12" s="10" t="n"/>
    </row>
    <row r="13" ht="76.5" customHeight="1" s="111">
      <c r="A13" s="8" t="inlineStr">
        <is>
          <t>MGSES-CATSW 345KV</t>
        </is>
      </c>
      <c r="B13" s="9" t="inlineStr">
        <is>
          <t>🟢 Active</t>
        </is>
      </c>
      <c r="C13" s="11" t="inlineStr">
        <is>
          <t>HE23, HE19, HE20</t>
        </is>
      </c>
      <c r="D13" s="10" t="inlineStr">
        <is>
          <t>Newer congestion (start Nov 2025). Mostly see this congestion with cooler weather in the west creating higher load levels (9gw+) and wind sub 8GW. This ould be the inbalance of demand and wind gen. look into that also maybe coastal wind gen</t>
        </is>
      </c>
      <c r="E13" s="11" t="inlineStr">
        <is>
          <t>Judkins (30.0%)</t>
        </is>
      </c>
      <c r="F13" s="12" t="n">
        <v>0.3</v>
      </c>
      <c r="G13" s="13" t="n">
        <v>150</v>
      </c>
      <c r="H13" s="13" t="n">
        <v>300</v>
      </c>
      <c r="I13" s="10" t="inlineStr">
        <is>
          <t>Discharge at SP ≥ $300-500/MWh
(MCC $150+ at primary node)</t>
        </is>
      </c>
      <c r="J13" s="10" t="inlineStr">
        <is>
          <t>Monitor trend; discharge on confirmed ramp</t>
        </is>
      </c>
      <c r="K13" s="10" t="n"/>
      <c r="L13" s="10" t="n"/>
    </row>
    <row r="14" ht="63.75" customHeight="1" s="111">
      <c r="A14" s="8" t="inlineStr">
        <is>
          <t>ESCONDID-GANSO 138KV</t>
        </is>
      </c>
      <c r="B14" s="9" t="inlineStr">
        <is>
          <t>🟢 Active</t>
        </is>
      </c>
      <c r="C14" s="11" t="inlineStr">
        <is>
          <t>HE8, HE9, HE1</t>
        </is>
      </c>
      <c r="D14" s="10" t="inlineStr">
        <is>
          <t>HE 10 saw the most shadow pricing but morning all around get best pricing. We see this congestion with low wind generation online, especially the west goin sub 3GW paired with WTX seeing a 9GW+ load</t>
        </is>
      </c>
      <c r="E14" s="11" t="inlineStr">
        <is>
          <t>Hamilton (40.4%)</t>
        </is>
      </c>
      <c r="F14" s="12" t="n">
        <v>0.4035</v>
      </c>
      <c r="G14" s="13" t="n">
        <v>201.75</v>
      </c>
      <c r="H14" s="13" t="n">
        <v>403.5</v>
      </c>
      <c r="I14" s="10" t="inlineStr">
        <is>
          <t>Discharge at SP ≥ $300-500/MWh
(MCC $202+ at primary node)</t>
        </is>
      </c>
      <c r="J14" s="10" t="inlineStr">
        <is>
          <t>Monitor trend; discharge on confirmed ramp</t>
        </is>
      </c>
      <c r="K14" s="10" t="n"/>
      <c r="L14" s="10" t="n"/>
    </row>
    <row r="15" ht="63.75" customHeight="1" s="111">
      <c r="A15" s="8" t="inlineStr">
        <is>
          <t>BCESW-SNDSW 345KV</t>
        </is>
      </c>
      <c r="B15" s="9" t="inlineStr">
        <is>
          <t>🟢 Active</t>
        </is>
      </c>
      <c r="C15" s="11" t="inlineStr">
        <is>
          <t>HE17, HE18, HE16</t>
        </is>
      </c>
      <c r="D15" s="10" t="inlineStr">
        <is>
          <t>Not much activity here during summer and winter. Also see this one when south wind is sub 1GW. Consistent factor also seems to be days of strong south load (15GW+) during the solar window</t>
        </is>
      </c>
      <c r="E15" s="11" t="inlineStr">
        <is>
          <t>Holcomb (11.0%)</t>
        </is>
      </c>
      <c r="F15" s="12" t="n">
        <v>0.11</v>
      </c>
      <c r="G15" s="16" t="n">
        <v>55</v>
      </c>
      <c r="H15" s="13" t="n">
        <v>110</v>
      </c>
      <c r="I15" s="10" t="inlineStr">
        <is>
          <t>Discharge at SP ≥ $500-800/MWh
(MCC $55+ at node)</t>
        </is>
      </c>
      <c r="J15" s="10" t="inlineStr">
        <is>
          <t>Monitor trend; discharge on confirmed ramp</t>
        </is>
      </c>
      <c r="K15" s="10" t="n"/>
      <c r="L15" s="10" t="n"/>
    </row>
    <row r="16" ht="63.75" customHeight="1" s="111">
      <c r="A16" s="8" t="inlineStr">
        <is>
          <t>LNGSW-CONSW 345KV</t>
        </is>
      </c>
      <c r="B16" s="9" t="inlineStr">
        <is>
          <t>🟢 Active</t>
        </is>
      </c>
      <c r="C16" s="11" t="inlineStr">
        <is>
          <t>HE1, HE2, HE24</t>
        </is>
      </c>
      <c r="D16" s="10" t="inlineStr">
        <is>
          <t>Pretty well associated with high west wind gen. Prob 10GW+. Never really get shadow pricing above $400 here but we still have 20%sf at west sites. Also couples well with West RT load being over 9GW overnight</t>
        </is>
      </c>
      <c r="E16" s="11" t="inlineStr">
        <is>
          <t>Judkins (21.3%)</t>
        </is>
      </c>
      <c r="F16" s="12" t="n">
        <v>0.213</v>
      </c>
      <c r="G16" s="13" t="n">
        <v>106.5</v>
      </c>
      <c r="H16" s="13" t="n">
        <v>213</v>
      </c>
      <c r="I16" s="10" t="inlineStr">
        <is>
          <t>Discharge at SP ≥ $300-500/MWh
(MCC $106+ at primary node)</t>
        </is>
      </c>
      <c r="J16" s="10" t="inlineStr">
        <is>
          <t>Monitor trend; discharge on confirmed ramp</t>
        </is>
      </c>
      <c r="K16" s="10" t="n"/>
      <c r="L16" s="10" t="n"/>
    </row>
    <row r="17" ht="51" customHeight="1" s="111">
      <c r="A17" s="8" t="inlineStr">
        <is>
          <t>YELWJCKT-FORTMA 138KV</t>
        </is>
      </c>
      <c r="B17" s="9" t="inlineStr">
        <is>
          <t>🟢 Active</t>
        </is>
      </c>
      <c r="C17" s="11" t="inlineStr">
        <is>
          <t>HE7, HE6, HE5</t>
        </is>
      </c>
      <c r="D17" s="10" t="inlineStr">
        <is>
          <t>Very high west winds. See it the most at 13GW+ of west wind gen in offpeak hours and 10+GW of west wind gen in on-peak hours</t>
        </is>
      </c>
      <c r="E17" s="11" t="inlineStr">
        <is>
          <t>—</t>
        </is>
      </c>
      <c r="F17" s="11" t="n"/>
      <c r="G17" s="11" t="n"/>
      <c r="H17" s="11" t="n"/>
      <c r="I17" s="10" t="inlineStr">
        <is>
          <t>Check MCC Calculator</t>
        </is>
      </c>
      <c r="J17" s="10" t="inlineStr">
        <is>
          <t>Monitor trend; discharge on confirmed ramp</t>
        </is>
      </c>
      <c r="K17" s="10" t="n"/>
      <c r="L17" s="10" t="n"/>
    </row>
    <row r="18" ht="105" customHeight="1" s="111">
      <c r="A18" s="8" t="inlineStr">
        <is>
          <t>Legend:</t>
        </is>
      </c>
      <c r="B18" s="9" t="inlineStr">
        <is>
          <t>🟢 Active = detailed MCC analysis completed</t>
        </is>
      </c>
      <c r="C18" s="11" t="n"/>
      <c r="D18" s="10" t="n"/>
      <c r="E18" s="11" t="inlineStr">
        <is>
          <t>—</t>
        </is>
      </c>
      <c r="F18" s="11" t="n"/>
      <c r="G18" s="11" t="n"/>
      <c r="H18" s="11" t="n"/>
      <c r="I18" s="10" t="inlineStr">
        <is>
          <t>Check MCC Calculator</t>
        </is>
      </c>
      <c r="J18" s="10" t="inlineStr">
        <is>
          <t>Monitor trend; discharge on confirmed ramp</t>
        </is>
      </c>
      <c r="K18" s="10" t="n"/>
      <c r="L18" s="10" t="n"/>
    </row>
    <row r="19">
      <c r="A19" s="119" t="inlineStr">
        <is>
          <t>🟡  WATCH LINES — Monitor Closely in Jun – Aug</t>
        </is>
      </c>
    </row>
    <row r="20" ht="51" customHeight="1" s="111">
      <c r="A20" s="17" t="inlineStr">
        <is>
          <t>ASHERTON-CATARINA 138KV</t>
        </is>
      </c>
      <c r="B20" s="18" t="inlineStr">
        <is>
          <t>🟡 Watch</t>
        </is>
      </c>
      <c r="C20" s="20" t="inlineStr">
        <is>
          <t>HE13, HE12, HE14</t>
        </is>
      </c>
      <c r="D20" s="19" t="inlineStr">
        <is>
          <t>All conesiton seen in solar window. Driven by super low coastal and south wind gen during the solar window. Maybe look into this more, doesn't seem load driven</t>
        </is>
      </c>
      <c r="E20" s="20" t="inlineStr">
        <is>
          <t>Catarina (77.0%)</t>
        </is>
      </c>
      <c r="F20" s="21" t="n">
        <v>0.7698199999999999</v>
      </c>
      <c r="G20" s="54" t="n">
        <v>384.91</v>
      </c>
      <c r="H20" s="54" t="n">
        <v>769.8200000000001</v>
      </c>
      <c r="I20" s="19" t="inlineStr">
        <is>
          <t>Discharge at SP ≥ $300-500/MWh
(MCC $385+ at primary node)</t>
        </is>
      </c>
      <c r="J20" s="19" t="inlineStr">
        <is>
          <t>Discharge on sight</t>
        </is>
      </c>
      <c r="K20" s="19" t="n"/>
      <c r="L20" s="19" t="n"/>
    </row>
    <row r="21" ht="51" customHeight="1" s="111">
      <c r="A21" s="17" t="inlineStr">
        <is>
          <t>MRVLY-ESTLD 69KV</t>
        </is>
      </c>
      <c r="B21" s="18" t="inlineStr">
        <is>
          <t>🟡 Watch</t>
        </is>
      </c>
      <c r="C21" s="20" t="inlineStr">
        <is>
          <t>HE20, HE19, HE21</t>
        </is>
      </c>
      <c r="D21" s="19" t="inlineStr">
        <is>
          <t>Also seems to be when we see north load reach above 15GW. Especially if it's the load leader by a big chunk on the grid. Look at 01/11 and 01/12</t>
        </is>
      </c>
      <c r="E21" s="20" t="inlineStr">
        <is>
          <t>Cisco (17.3%)</t>
        </is>
      </c>
      <c r="F21" s="21" t="n">
        <v>0.17348</v>
      </c>
      <c r="G21" s="54" t="n">
        <v>86.73999999999999</v>
      </c>
      <c r="H21" s="54" t="n">
        <v>173.48</v>
      </c>
      <c r="I21" s="19" t="inlineStr">
        <is>
          <t>Discharge at SP ≥ $500-800/MWh
(MCC $87+ at node)</t>
        </is>
      </c>
      <c r="J21" s="19" t="inlineStr">
        <is>
          <t>Discharge on sight</t>
        </is>
      </c>
      <c r="K21" s="19" t="n"/>
      <c r="L21" s="19" t="n"/>
    </row>
    <row r="22" ht="51" customHeight="1" s="111">
      <c r="A22" s="17" t="inlineStr">
        <is>
          <t>STP-WAP 345KV</t>
        </is>
      </c>
      <c r="B22" s="18" t="inlineStr">
        <is>
          <t>🟡 Watch</t>
        </is>
      </c>
      <c r="C22" s="20" t="inlineStr">
        <is>
          <t>HE17, HE16, HE13</t>
        </is>
      </c>
      <c r="D22" s="19" t="inlineStr">
        <is>
          <t>Def has to do with houston load during the summer heat. When houston load reaches above 18GW+ we will see this flare up.</t>
        </is>
      </c>
      <c r="E22" s="20" t="inlineStr">
        <is>
          <t>Mainland (9.6%)</t>
        </is>
      </c>
      <c r="F22" s="21" t="n">
        <v>0.09569999999999999</v>
      </c>
      <c r="G22" s="54" t="n">
        <v>47.85</v>
      </c>
      <c r="H22" s="54" t="n">
        <v>95.7</v>
      </c>
      <c r="I22" s="19" t="inlineStr">
        <is>
          <t>Discharge at SP ≥ $1000+/MWh
(Need strong pricing for good MCC)</t>
        </is>
      </c>
      <c r="J22" s="19" t="inlineStr">
        <is>
          <t>Discharge on sight</t>
        </is>
      </c>
      <c r="K22" s="19" t="n"/>
      <c r="L22" s="19" t="n"/>
    </row>
    <row r="23" ht="51" customHeight="1" s="111">
      <c r="A23" s="17" t="inlineStr">
        <is>
          <t>PALOUSE-WOLFCAMP 138KV</t>
        </is>
      </c>
      <c r="B23" s="18" t="inlineStr">
        <is>
          <t>🟡 Watch</t>
        </is>
      </c>
      <c r="C23" s="20" t="inlineStr">
        <is>
          <t>HE18, HE17, HE16</t>
        </is>
      </c>
      <c r="D23" s="19" t="inlineStr">
        <is>
          <t>Strongest pricing seen in the summer (hot). When RT West load gets up to 9GW we will see this, especially when solar is ramping offline.</t>
        </is>
      </c>
      <c r="E23" s="20" t="inlineStr">
        <is>
          <t>Russek (30.6%)</t>
        </is>
      </c>
      <c r="F23" s="21" t="n">
        <v>0.30569</v>
      </c>
      <c r="G23" s="54" t="n">
        <v>152.845</v>
      </c>
      <c r="H23" s="54" t="n">
        <v>305.69</v>
      </c>
      <c r="I23" s="19" t="inlineStr">
        <is>
          <t>Discharge at SP ≥ $300-500/MWh
(MCC $153+ at primary node)</t>
        </is>
      </c>
      <c r="J23" s="19" t="inlineStr">
        <is>
          <t>Discharge on sight</t>
        </is>
      </c>
      <c r="K23" s="19" t="n"/>
      <c r="L23" s="19" t="n"/>
    </row>
    <row r="24" ht="51" customHeight="1" s="111">
      <c r="A24" s="17" t="inlineStr">
        <is>
          <t>LPLMK-LPLNE 115KV</t>
        </is>
      </c>
      <c r="B24" s="18" t="inlineStr">
        <is>
          <t>🟡 Watch</t>
        </is>
      </c>
      <c r="C24" s="20" t="inlineStr">
        <is>
          <t>HE21, HE22, HE20</t>
        </is>
      </c>
      <c r="D24" s="19" t="inlineStr">
        <is>
          <t>Don't have very strong shift factors out here in the west but active pretty often when west wind levels go below 5GW but it's actually strong panhandle winds that is the cause.</t>
        </is>
      </c>
      <c r="E24" s="20" t="inlineStr">
        <is>
          <t>Judkins (1.6%)</t>
        </is>
      </c>
      <c r="F24" s="21" t="n">
        <v>0.01594</v>
      </c>
      <c r="G24" s="54" t="n">
        <v>7.97</v>
      </c>
      <c r="H24" s="54" t="n">
        <v>15.94</v>
      </c>
      <c r="I24" s="19" t="inlineStr">
        <is>
          <t>Only strong pricing (SP&gt;$2000) creates meaningful MCC</t>
        </is>
      </c>
      <c r="J24" s="19" t="inlineStr">
        <is>
          <t>Discharge on sight</t>
        </is>
      </c>
      <c r="K24" s="19" t="n"/>
      <c r="L24" s="19" t="n"/>
    </row>
    <row r="25" ht="38.25" customHeight="1" s="111">
      <c r="A25" s="17" t="inlineStr">
        <is>
          <t>CRDSW-OLNEY 69KV</t>
        </is>
      </c>
      <c r="B25" s="18" t="inlineStr">
        <is>
          <t>🟡 Watch</t>
        </is>
      </c>
      <c r="C25" s="20" t="inlineStr">
        <is>
          <t>HE17, HE18, HE16</t>
        </is>
      </c>
      <c r="D25" s="19" t="inlineStr">
        <is>
          <t>See this on hot days where North load reaches up to 22GW+.</t>
        </is>
      </c>
      <c r="E25" s="20" t="inlineStr">
        <is>
          <t>Olney (78.7%)</t>
        </is>
      </c>
      <c r="F25" s="21" t="n">
        <v>0.78682</v>
      </c>
      <c r="G25" s="54" t="n">
        <v>393.41</v>
      </c>
      <c r="H25" s="54" t="n">
        <v>786.8200000000001</v>
      </c>
      <c r="I25" s="19" t="inlineStr">
        <is>
          <t>Discharge at SP ≥ $300-500/MWh
(MCC $393+ at primary node)</t>
        </is>
      </c>
      <c r="J25" s="19" t="inlineStr">
        <is>
          <t>Discharge on sight</t>
        </is>
      </c>
      <c r="K25" s="19" t="n"/>
      <c r="L25" s="19" t="n"/>
    </row>
    <row r="26" ht="38.25" customHeight="1" s="111">
      <c r="A26" s="17" t="inlineStr">
        <is>
          <t>HONDOCK-DEVINESW 69KV</t>
        </is>
      </c>
      <c r="B26" s="18" t="inlineStr">
        <is>
          <t>🟡 Watch</t>
        </is>
      </c>
      <c r="C26" s="20" t="inlineStr">
        <is>
          <t>HE16, HE18, HE17</t>
        </is>
      </c>
      <c r="D26" s="19" t="inlineStr">
        <is>
          <t>Newer constraint that showed up in January. Was strongest in march and april. Skip this one too weak of shift factor</t>
        </is>
      </c>
      <c r="E26" s="20" t="inlineStr">
        <is>
          <t>—</t>
        </is>
      </c>
      <c r="F26" s="20" t="n"/>
      <c r="G26" s="20" t="n"/>
      <c r="H26" s="20" t="n"/>
      <c r="I26" s="19" t="inlineStr">
        <is>
          <t>Check MCC Calculator</t>
        </is>
      </c>
      <c r="J26" s="19" t="inlineStr">
        <is>
          <t>Discharge on sight</t>
        </is>
      </c>
      <c r="K26" s="19" t="n"/>
      <c r="L26" s="19" t="n"/>
    </row>
    <row r="27" ht="38.25" customHeight="1" s="111">
      <c r="A27" s="17" t="inlineStr">
        <is>
          <t>I_FW_N</t>
        </is>
      </c>
      <c r="B27" s="18" t="inlineStr">
        <is>
          <t>🟡 Watch</t>
        </is>
      </c>
      <c r="C27" s="20" t="inlineStr">
        <is>
          <t>HE5, HE6, HE4</t>
        </is>
      </c>
      <c r="D27" s="19" t="inlineStr">
        <is>
          <t>Never really see enough shadow pricing to create strong MCC's here. I also don't see one single issue</t>
        </is>
      </c>
      <c r="E27" s="20" t="inlineStr">
        <is>
          <t>Judkins (15.7%)</t>
        </is>
      </c>
      <c r="F27" s="21" t="n">
        <v>0.1566</v>
      </c>
      <c r="G27" s="54" t="n">
        <v>78.3</v>
      </c>
      <c r="H27" s="54" t="n">
        <v>156.6</v>
      </c>
      <c r="I27" s="19" t="inlineStr">
        <is>
          <t>Discharge at SP ≥ $500-800/MWh
(MCC $78+ at node)</t>
        </is>
      </c>
      <c r="J27" s="19" t="inlineStr">
        <is>
          <t>Discharge on sight</t>
        </is>
      </c>
      <c r="K27" s="19" t="n"/>
      <c r="L27" s="19" t="n"/>
    </row>
    <row r="28" ht="38.25" customHeight="1" s="111">
      <c r="A28" s="17" t="inlineStr">
        <is>
          <t>CARVER-TINSLEY 138KV</t>
        </is>
      </c>
      <c r="B28" s="18" t="inlineStr">
        <is>
          <t>🟡 Watch</t>
        </is>
      </c>
      <c r="C28" s="20" t="inlineStr">
        <is>
          <t>HE21, HE20, HE22</t>
        </is>
      </c>
      <c r="D28" s="19" t="inlineStr">
        <is>
          <t>Most shadow pricing seen in HE11 and 12. See this with West wind at 10GW+ coupled with sub 2GW coastal winds</t>
        </is>
      </c>
      <c r="E28" s="20" t="inlineStr">
        <is>
          <t>Hamilton (32.3%)</t>
        </is>
      </c>
      <c r="F28" s="21" t="n">
        <v>0.32323</v>
      </c>
      <c r="G28" s="54" t="n">
        <v>161.615</v>
      </c>
      <c r="H28" s="54" t="n">
        <v>323.23</v>
      </c>
      <c r="I28" s="19" t="inlineStr">
        <is>
          <t>Discharge at SP ≥ $300-500/MWh
(MCC $162+ at primary node)</t>
        </is>
      </c>
      <c r="J28" s="19" t="inlineStr">
        <is>
          <t>Discharge on sight</t>
        </is>
      </c>
      <c r="K28" s="19" t="n"/>
      <c r="L28" s="19" t="n"/>
    </row>
    <row r="29" ht="30" customHeight="1" s="111">
      <c r="A29" s="17" t="inlineStr">
        <is>
          <t>BIG_FOOT-PLEASANT 138KV</t>
        </is>
      </c>
      <c r="B29" s="18" t="inlineStr">
        <is>
          <t>🟡 Watch</t>
        </is>
      </c>
      <c r="C29" s="20" t="inlineStr">
        <is>
          <t>HE16, HE13, HE15</t>
        </is>
      </c>
      <c r="D29" s="19" t="inlineStr">
        <is>
          <t>Not that much action since RTC switchover. Too small of shift factors here…</t>
        </is>
      </c>
      <c r="E29" s="20" t="inlineStr">
        <is>
          <t>—</t>
        </is>
      </c>
      <c r="F29" s="20" t="n"/>
      <c r="G29" s="20" t="n"/>
      <c r="H29" s="20" t="n"/>
      <c r="I29" s="19" t="inlineStr">
        <is>
          <t>Check MCC Calculator</t>
        </is>
      </c>
      <c r="J29" s="19" t="inlineStr">
        <is>
          <t>Discharge on sight</t>
        </is>
      </c>
      <c r="K29" s="19" t="n"/>
      <c r="L29" s="19" t="n"/>
    </row>
    <row r="30" ht="38.25" customHeight="1" s="111">
      <c r="A30" s="17" t="inlineStr">
        <is>
          <t>MADDUX-TREADWEL 138KV</t>
        </is>
      </c>
      <c r="B30" s="18" t="inlineStr">
        <is>
          <t>🟡 Watch</t>
        </is>
      </c>
      <c r="C30" s="20" t="inlineStr">
        <is>
          <t>HE17, HE18, HE16</t>
        </is>
      </c>
      <c r="D30" s="19" t="inlineStr">
        <is>
          <t>Haven't seen much post RTC+B should be interesting to look out for. Can't find much of a driver here.</t>
        </is>
      </c>
      <c r="E30" s="20" t="inlineStr">
        <is>
          <t>Junction (39.3%)</t>
        </is>
      </c>
      <c r="F30" s="21" t="n">
        <v>0.39252</v>
      </c>
      <c r="G30" s="54" t="n">
        <v>196.26</v>
      </c>
      <c r="H30" s="54" t="n">
        <v>392.52</v>
      </c>
      <c r="I30" s="19" t="inlineStr">
        <is>
          <t>Discharge at SP ≥ $300-500/MWh
(MCC $196+ at primary node)</t>
        </is>
      </c>
      <c r="J30" s="19" t="inlineStr">
        <is>
          <t>Discharge on sight</t>
        </is>
      </c>
      <c r="K30" s="19" t="n"/>
      <c r="L30" s="19" t="n"/>
    </row>
    <row r="31" ht="38.25" customHeight="1" s="111">
      <c r="A31" s="17" t="inlineStr">
        <is>
          <t>MAXWELL-HAMILTON 138KV</t>
        </is>
      </c>
      <c r="B31" s="18" t="inlineStr">
        <is>
          <t>🟡 Watch</t>
        </is>
      </c>
      <c r="C31" s="20" t="inlineStr">
        <is>
          <t>HE2, HE24, HE1</t>
        </is>
      </c>
      <c r="D31" s="19" t="inlineStr">
        <is>
          <t>Will be interesting to see if this still plays in Post RTC + B. Associated with 13+GW of west wind generation.</t>
        </is>
      </c>
      <c r="E31" s="20" t="inlineStr">
        <is>
          <t>Hamilton (23.0%)</t>
        </is>
      </c>
      <c r="F31" s="21" t="n">
        <v>0.22977</v>
      </c>
      <c r="G31" s="54" t="n">
        <v>114.885</v>
      </c>
      <c r="H31" s="54" t="n">
        <v>229.77</v>
      </c>
      <c r="I31" s="19" t="inlineStr">
        <is>
          <t>Discharge at SP ≥ $300-500/MWh
(MCC $115+ at primary node)</t>
        </is>
      </c>
      <c r="J31" s="19" t="inlineStr">
        <is>
          <t>Discharge on sight</t>
        </is>
      </c>
      <c r="K31" s="19" t="n"/>
      <c r="L31" s="19" t="n"/>
    </row>
    <row r="32" ht="38.25" customHeight="1" s="111">
      <c r="A32" s="17" t="inlineStr">
        <is>
          <t>LNGSW-CONSW 345KV</t>
        </is>
      </c>
      <c r="B32" s="18" t="inlineStr">
        <is>
          <t>🟡 Watch</t>
        </is>
      </c>
      <c r="C32" s="20" t="inlineStr">
        <is>
          <t>HE1, HE2, HE24</t>
        </is>
      </c>
      <c r="D32" s="19" t="inlineStr">
        <is>
          <t>Haven't seen this one since october 2025. May just be summer congestion. Associated with 10GW+ of west wind gen</t>
        </is>
      </c>
      <c r="E32" s="20" t="inlineStr">
        <is>
          <t>Judkins (21.5%)</t>
        </is>
      </c>
      <c r="F32" s="21" t="n">
        <v>0.213</v>
      </c>
      <c r="G32" s="54" t="n">
        <v>106.5</v>
      </c>
      <c r="H32" s="54" t="n">
        <v>213</v>
      </c>
      <c r="I32" s="19" t="inlineStr">
        <is>
          <t>Discharge at SP ≥ $300-500/MWh
(MCC $106+ at primary node)</t>
        </is>
      </c>
      <c r="J32" s="19" t="inlineStr">
        <is>
          <t>Discharge on sight</t>
        </is>
      </c>
      <c r="K32" s="19" t="n"/>
      <c r="L32" s="19" t="n"/>
    </row>
    <row r="33" ht="76.5" customHeight="1" s="111">
      <c r="A33" s="17" t="inlineStr">
        <is>
          <t>SONR-ATSO 69KV</t>
        </is>
      </c>
      <c r="B33" s="18" t="inlineStr">
        <is>
          <t>🟡 Watch</t>
        </is>
      </c>
      <c r="C33" s="20" t="inlineStr">
        <is>
          <t>HE1, HE3, HE2</t>
        </is>
      </c>
      <c r="D33" s="19" t="inlineStr">
        <is>
          <t>Don't really know what the driver is here. It could be west load surpassing 9GW+ overnight but not sure how common that is. The west wind levels are not very reliable but could be attributed with Low west winds OR high west winds</t>
        </is>
      </c>
      <c r="E33" s="20" t="inlineStr">
        <is>
          <t>Russek (5.0%)</t>
        </is>
      </c>
      <c r="F33" s="21" t="n">
        <v>0.05</v>
      </c>
      <c r="G33" s="54" t="n">
        <v>25</v>
      </c>
      <c r="H33" s="54" t="n">
        <v>50</v>
      </c>
      <c r="I33" s="19" t="inlineStr">
        <is>
          <t>Discharge at SP ≥ $1000+/MWh
(Need strong pricing for good MCC)</t>
        </is>
      </c>
      <c r="J33" s="19" t="inlineStr">
        <is>
          <t>Discharge on sight</t>
        </is>
      </c>
      <c r="K33" s="19" t="n"/>
      <c r="L33" s="19" t="n"/>
    </row>
    <row r="34" ht="38.25" customHeight="1" s="111">
      <c r="A34" s="17" t="inlineStr">
        <is>
          <t>BRUNI 138KV</t>
        </is>
      </c>
      <c r="B34" s="18" t="inlineStr">
        <is>
          <t>🟡 Watch</t>
        </is>
      </c>
      <c r="C34" s="20" t="inlineStr">
        <is>
          <t>HE23, HE22, HE21</t>
        </is>
      </c>
      <c r="D34" s="19" t="inlineStr">
        <is>
          <t>Our shift factors are only like 1% so can't really include this one. Maybe associated with 1.5GW+ of south wind gen</t>
        </is>
      </c>
      <c r="E34" s="20" t="inlineStr">
        <is>
          <t>Catarina (1.0%)</t>
        </is>
      </c>
      <c r="F34" s="21" t="n">
        <v>0.01044</v>
      </c>
      <c r="G34" s="54" t="n">
        <v>5.22</v>
      </c>
      <c r="H34" s="54" t="n">
        <v>10.44</v>
      </c>
      <c r="I34" s="19" t="inlineStr">
        <is>
          <t>Only strong pricing (SP&gt;$2000) creates meaningful MCC</t>
        </is>
      </c>
      <c r="J34" s="19" t="inlineStr">
        <is>
          <t>Discharge on sight</t>
        </is>
      </c>
      <c r="K34" s="19" t="n"/>
      <c r="L34" s="19" t="n"/>
    </row>
    <row r="35" ht="38.25" customHeight="1" s="111">
      <c r="A35" s="17" t="inlineStr">
        <is>
          <t>CRTRVLLE-HILGR 138KV</t>
        </is>
      </c>
      <c r="B35" s="18" t="inlineStr">
        <is>
          <t>🟡 Watch</t>
        </is>
      </c>
      <c r="C35" s="20" t="inlineStr">
        <is>
          <t>HE1, HE2, HE23</t>
        </is>
      </c>
      <c r="D35" s="19" t="inlineStr">
        <is>
          <t>Never rlly seen MCC's over $50 for our west sites so not much to report on here. Driver here is 10GW+ of west wind gen</t>
        </is>
      </c>
      <c r="E35" s="20" t="inlineStr">
        <is>
          <t>Judkins (4.0%)</t>
        </is>
      </c>
      <c r="F35" s="21" t="n">
        <v>0.04</v>
      </c>
      <c r="G35" s="54" t="n">
        <v>20</v>
      </c>
      <c r="H35" s="54" t="n">
        <v>40</v>
      </c>
      <c r="I35" s="19" t="inlineStr">
        <is>
          <t>Only strong pricing (SP&gt;$2000) creates meaningful MCC</t>
        </is>
      </c>
      <c r="J35" s="19" t="inlineStr">
        <is>
          <t>Discharge on sight</t>
        </is>
      </c>
      <c r="K35" s="19" t="n"/>
      <c r="L35" s="19" t="n"/>
    </row>
    <row r="36" ht="38.25" customHeight="1" s="111">
      <c r="A36" s="17" t="inlineStr">
        <is>
          <t>LA_PALMA-HAINE_DR 138KV</t>
        </is>
      </c>
      <c r="B36" s="18" t="inlineStr">
        <is>
          <t>🟡 Watch</t>
        </is>
      </c>
      <c r="C36" s="20" t="inlineStr">
        <is>
          <t>HE17, HE16, HE18</t>
        </is>
      </c>
      <c r="D36" s="19" t="inlineStr">
        <is>
          <t>See this congestion with 2GW+ of south wind Gen and 2.5GW+ of coastal wind gen</t>
        </is>
      </c>
      <c r="E36" s="20" t="inlineStr">
        <is>
          <t>Val Verde (1.9%)</t>
        </is>
      </c>
      <c r="F36" s="21" t="n">
        <v>0.018556</v>
      </c>
      <c r="G36" s="54" t="n">
        <v>9.278</v>
      </c>
      <c r="H36" s="54" t="n">
        <v>18.556</v>
      </c>
      <c r="I36" s="19" t="inlineStr">
        <is>
          <t>Only strong pricing (SP&gt;$2000) creates meaningful MCC</t>
        </is>
      </c>
      <c r="J36" s="19" t="inlineStr">
        <is>
          <t>Discharge on sight</t>
        </is>
      </c>
      <c r="K36" s="19" t="n"/>
      <c r="L36" s="19" t="n"/>
    </row>
    <row r="37" ht="38.25" customHeight="1" s="111">
      <c r="A37" s="17" t="inlineStr">
        <is>
          <t>PILONCIL-NLARSW 138KV</t>
        </is>
      </c>
      <c r="B37" s="18" t="inlineStr">
        <is>
          <t>🟡 Watch</t>
        </is>
      </c>
      <c r="C37" s="20" t="inlineStr">
        <is>
          <t>HE16, HE15, HE17</t>
        </is>
      </c>
      <c r="D37" s="19" t="inlineStr">
        <is>
          <t>see this with really low coastal and south winds. Like sub 1GW for each.</t>
        </is>
      </c>
      <c r="E37" s="20" t="inlineStr">
        <is>
          <t>Holcomb (23.8%)</t>
        </is>
      </c>
      <c r="F37" s="21" t="n">
        <v>0.23807</v>
      </c>
      <c r="G37" s="54" t="n">
        <v>119.035</v>
      </c>
      <c r="H37" s="54" t="n">
        <v>238.07</v>
      </c>
      <c r="I37" s="19" t="inlineStr">
        <is>
          <t>Discharge at SP ≥ $300-500/MWh
(MCC $119+ at primary node)</t>
        </is>
      </c>
      <c r="J37" s="19" t="inlineStr">
        <is>
          <t>Discharge on sight</t>
        </is>
      </c>
      <c r="K37" s="19" t="n"/>
      <c r="L37" s="19" t="n"/>
    </row>
    <row r="38" ht="30" customHeight="1" s="111">
      <c r="A38" s="17" t="inlineStr">
        <is>
          <t>MCCAMY</t>
        </is>
      </c>
      <c r="B38" s="18" t="inlineStr">
        <is>
          <t>🟡 Watch</t>
        </is>
      </c>
      <c r="C38" s="20" t="inlineStr">
        <is>
          <t>HE13, HE12, HE14</t>
        </is>
      </c>
      <c r="D38" s="19" t="inlineStr">
        <is>
          <t>Delete, don’t see any shadow pricing</t>
        </is>
      </c>
      <c r="E38" s="20" t="inlineStr">
        <is>
          <t>—</t>
        </is>
      </c>
      <c r="F38" s="20" t="n"/>
      <c r="G38" s="20" t="n"/>
      <c r="H38" s="20" t="n"/>
      <c r="I38" s="19" t="inlineStr">
        <is>
          <t>Check MCC Calculator</t>
        </is>
      </c>
      <c r="J38" s="19" t="inlineStr">
        <is>
          <t>Discharge on sight</t>
        </is>
      </c>
      <c r="K38" s="19" t="n"/>
      <c r="L38" s="19" t="n"/>
    </row>
    <row r="39" ht="76.5" customHeight="1" s="111">
      <c r="A39" s="17" t="inlineStr">
        <is>
          <t>CMNSW-CMNTP 138KV</t>
        </is>
      </c>
      <c r="B39" s="18" t="inlineStr">
        <is>
          <t>🟡 Watch</t>
        </is>
      </c>
      <c r="C39" s="20" t="inlineStr">
        <is>
          <t>HE17, HE19, HE18</t>
        </is>
      </c>
      <c r="D39" s="19" t="inlineStr">
        <is>
          <t>Get this congestion when coastal winds surpass 2.7GW+ of coastal gen. When system wide wind gen reaches to 20GW+ is where we get the best shadow pricing. Don't get much pricing from here though with low shift factors</t>
        </is>
      </c>
      <c r="E39" s="20" t="inlineStr">
        <is>
          <t>Cisco (5.0%)</t>
        </is>
      </c>
      <c r="F39" s="21" t="n">
        <v>0.05</v>
      </c>
      <c r="G39" s="54" t="n">
        <v>25</v>
      </c>
      <c r="H39" s="54" t="n">
        <v>50</v>
      </c>
      <c r="I39" s="19" t="inlineStr">
        <is>
          <t>Discharge at SP ≥ $1000+/MWh
(Need strong pricing for good MCC)</t>
        </is>
      </c>
      <c r="J39" s="19" t="inlineStr">
        <is>
          <t>Discharge on sight</t>
        </is>
      </c>
      <c r="K39" s="19" t="n"/>
      <c r="L39" s="19" t="n"/>
    </row>
    <row r="40" ht="51" customHeight="1" s="111">
      <c r="A40" s="17" t="inlineStr">
        <is>
          <t>UVALDE-READING 138KV</t>
        </is>
      </c>
      <c r="B40" s="18" t="inlineStr">
        <is>
          <t>🟡 Watch</t>
        </is>
      </c>
      <c r="C40" s="20" t="inlineStr">
        <is>
          <t>HE19, HE18, HE17</t>
        </is>
      </c>
      <c r="D40" s="19" t="inlineStr">
        <is>
          <t>Haven't seen post RTC. No good positive shift factor but hamilton has strong negative. Can't find a specific driver but 19GW+ of south load could be a driver with low south wind</t>
        </is>
      </c>
      <c r="E40" s="20" t="inlineStr">
        <is>
          <t>—</t>
        </is>
      </c>
      <c r="F40" s="20" t="n"/>
      <c r="G40" s="20" t="n"/>
      <c r="H40" s="20" t="n"/>
      <c r="I40" s="19" t="inlineStr">
        <is>
          <t>Check MCC Calculator</t>
        </is>
      </c>
      <c r="J40" s="19" t="inlineStr">
        <is>
          <t>Discharge on sight</t>
        </is>
      </c>
      <c r="K40" s="19" t="n"/>
      <c r="L40" s="19" t="n"/>
    </row>
    <row r="41" ht="51" customHeight="1" s="111">
      <c r="A41" s="17" t="inlineStr">
        <is>
          <t>WOLFCAMP-SANTARIT 138KV</t>
        </is>
      </c>
      <c r="B41" s="18" t="inlineStr">
        <is>
          <t>🟡 Watch</t>
        </is>
      </c>
      <c r="C41" s="20" t="inlineStr">
        <is>
          <t>HE17, HE16, HE19</t>
        </is>
      </c>
      <c r="D41" s="19" t="inlineStr">
        <is>
          <t>No specific driver I can find here. Russek has a 32% shift factor here. High temps also tend to flair up this line. Only saw for 2 days in April</t>
        </is>
      </c>
      <c r="E41" s="20" t="inlineStr">
        <is>
          <t>Russek (31.7%)</t>
        </is>
      </c>
      <c r="F41" s="21" t="n">
        <v>0.31739</v>
      </c>
      <c r="G41" s="54" t="n">
        <v>158.695</v>
      </c>
      <c r="H41" s="54" t="n">
        <v>317.39</v>
      </c>
      <c r="I41" s="19" t="inlineStr">
        <is>
          <t>Discharge at SP ≥ $300-500/MWh
(MCC $159+ at primary node)</t>
        </is>
      </c>
      <c r="J41" s="19" t="inlineStr">
        <is>
          <t>Discharge on sight</t>
        </is>
      </c>
      <c r="K41" s="19" t="n"/>
      <c r="L41" s="19" t="n"/>
    </row>
    <row r="42" ht="30" customHeight="1" s="111">
      <c r="A42" s="17" t="inlineStr">
        <is>
          <t>LHSES-PRCSW 138KV</t>
        </is>
      </c>
      <c r="B42" s="18" t="inlineStr">
        <is>
          <t>🟡 Watch</t>
        </is>
      </c>
      <c r="C42" s="20" t="inlineStr">
        <is>
          <t>HE20, HE19, HE17</t>
        </is>
      </c>
      <c r="D42" s="19" t="inlineStr">
        <is>
          <t>Skip this one. Only -5% shift factor here at North sites</t>
        </is>
      </c>
      <c r="E42" s="20" t="inlineStr">
        <is>
          <t>—</t>
        </is>
      </c>
      <c r="F42" s="20" t="n"/>
      <c r="G42" s="20" t="n"/>
      <c r="H42" s="20" t="n"/>
      <c r="I42" s="19" t="inlineStr">
        <is>
          <t>Check MCC Calculator</t>
        </is>
      </c>
      <c r="J42" s="19" t="inlineStr">
        <is>
          <t>Discharge on sight</t>
        </is>
      </c>
      <c r="K42" s="19" t="n"/>
      <c r="L42" s="19" t="n"/>
    </row>
    <row r="43" ht="51" customHeight="1" s="111">
      <c r="A43" s="17" t="inlineStr">
        <is>
          <t>LAREDO-DEL_MAR 138KV</t>
        </is>
      </c>
      <c r="B43" s="18" t="inlineStr">
        <is>
          <t>🟡 Watch</t>
        </is>
      </c>
      <c r="C43" s="20" t="inlineStr">
        <is>
          <t>HE23, HE24, HE22</t>
        </is>
      </c>
      <c r="D43" s="19" t="inlineStr">
        <is>
          <t>Will be interesting to see if we see this congestion this summer. Not very strong pricing here though. Skip</t>
        </is>
      </c>
      <c r="E43" s="20" t="inlineStr">
        <is>
          <t>Holcomb (6.0%)</t>
        </is>
      </c>
      <c r="F43" s="21" t="n">
        <v>0.06</v>
      </c>
      <c r="G43" s="54" t="n">
        <v>30</v>
      </c>
      <c r="H43" s="54" t="n">
        <v>60</v>
      </c>
      <c r="I43" s="19" t="inlineStr">
        <is>
          <t>Discharge at SP ≥ $1000+/MWh
(Need strong pricing for good MCC)</t>
        </is>
      </c>
      <c r="J43" s="19" t="inlineStr">
        <is>
          <t>Discharge on sight</t>
        </is>
      </c>
      <c r="K43" s="19" t="n"/>
      <c r="L43" s="19" t="n"/>
    </row>
    <row r="44" ht="51" customHeight="1" s="111">
      <c r="A44" s="17" t="inlineStr">
        <is>
          <t>FMRVL-RYSSW 345KV</t>
        </is>
      </c>
      <c r="B44" s="18" t="inlineStr">
        <is>
          <t>🟡 Watch</t>
        </is>
      </c>
      <c r="C44" s="20" t="inlineStr">
        <is>
          <t>HE17, HE16, HE15</t>
        </is>
      </c>
      <c r="D44" s="19" t="inlineStr">
        <is>
          <t>Dibol only has a 6% shift factor here but seen shadow pricing in the thousands. Only saw decent shadow pricing for one day. Delete</t>
        </is>
      </c>
      <c r="E44" s="20" t="inlineStr">
        <is>
          <t>Diboll (5.2%)</t>
        </is>
      </c>
      <c r="F44" s="21" t="n">
        <v>0.05227</v>
      </c>
      <c r="G44" s="54" t="n">
        <v>26.135</v>
      </c>
      <c r="H44" s="54" t="n">
        <v>52.27</v>
      </c>
      <c r="I44" s="19" t="inlineStr">
        <is>
          <t>Discharge at SP ≥ $1000+/MWh
(Need strong pricing for good MCC)</t>
        </is>
      </c>
      <c r="J44" s="19" t="inlineStr">
        <is>
          <t>Discharge on sight</t>
        </is>
      </c>
      <c r="K44" s="19" t="n"/>
      <c r="L44" s="19" t="n"/>
    </row>
  </sheetData>
  <mergeCells count="4">
    <mergeCell ref="A19:L19"/>
    <mergeCell ref="A2:N2"/>
    <mergeCell ref="A4:L4"/>
    <mergeCell ref="A1:N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5D4037"/>
    <outlinePr summaryBelow="1" summaryRight="1"/>
    <pageSetUpPr/>
  </sheetPr>
  <dimension ref="A1:N32"/>
  <sheetViews>
    <sheetView zoomScaleNormal="100" workbookViewId="0">
      <pane xSplit="1" ySplit="3" topLeftCell="B16" activePane="bottomRight" state="frozen"/>
      <selection pane="topRight" activeCell="B1" sqref="B1"/>
      <selection pane="bottomLeft" activeCell="A4" sqref="A4"/>
      <selection pane="bottomRight" activeCell="K16" sqref="K16"/>
    </sheetView>
  </sheetViews>
  <sheetFormatPr baseColWidth="8" defaultColWidth="8.7109375" defaultRowHeight="15"/>
  <cols>
    <col width="27.42578125" bestFit="1" customWidth="1" style="111" min="1" max="1"/>
    <col width="20.42578125" bestFit="1" customWidth="1" style="111" min="2" max="2"/>
    <col width="12.42578125" bestFit="1" customWidth="1" style="111" min="3" max="3"/>
    <col width="56.5703125" bestFit="1" customWidth="1" style="111" min="4" max="4"/>
    <col width="12.7109375" bestFit="1" customWidth="1" style="111" min="5" max="5"/>
    <col width="6.5703125" bestFit="1" customWidth="1" style="111" min="6" max="6"/>
    <col width="8.140625" bestFit="1" customWidth="1" style="111" min="7" max="7"/>
    <col width="9.140625" bestFit="1" customWidth="1" style="111" min="8" max="8"/>
    <col width="26" bestFit="1" customWidth="1" style="111" min="9" max="9"/>
    <col width="16.5703125" bestFit="1" customWidth="1" style="111" min="10" max="10"/>
    <col width="14.42578125" bestFit="1" customWidth="1" style="111" min="11" max="11"/>
    <col width="9" bestFit="1" customWidth="1" style="111" min="12" max="12"/>
  </cols>
  <sheetData>
    <row r="1" ht="18" customHeight="1" s="111">
      <c r="A1" s="112" t="inlineStr">
        <is>
          <t>FALL CONGESTION PLAYBOOK  |  Sep – Nov</t>
        </is>
      </c>
    </row>
    <row r="2">
      <c r="A2" s="122" t="inlineStr">
        <is>
          <t>Shoulder season. West wind ramps up. Watch overnight west wind gen.</t>
        </is>
      </c>
    </row>
    <row r="3" ht="25.5" customHeight="1" s="111">
      <c r="A3" s="7" t="inlineStr">
        <is>
          <t>Line / Constraint</t>
        </is>
      </c>
      <c r="B3" s="7" t="inlineStr">
        <is>
          <t>Priority</t>
        </is>
      </c>
      <c r="C3" s="7" t="inlineStr">
        <is>
          <t>Peak HE
(Best Hours)</t>
        </is>
      </c>
      <c r="D3" s="7" t="inlineStr">
        <is>
          <t>Driver / Trigger</t>
        </is>
      </c>
      <c r="E3" s="7" t="inlineStr">
        <is>
          <t>Primary Node</t>
        </is>
      </c>
      <c r="F3" s="7" t="inlineStr">
        <is>
          <t>SF (%)</t>
        </is>
      </c>
      <c r="G3" s="7" t="inlineStr">
        <is>
          <t>MCC @
$500 SP</t>
        </is>
      </c>
      <c r="H3" s="7" t="inlineStr">
        <is>
          <t>MCC @
$1000 SP</t>
        </is>
      </c>
      <c r="I3" s="7" t="inlineStr">
        <is>
          <t>Discharge
Guidance</t>
        </is>
      </c>
      <c r="J3" s="7" t="inlineStr">
        <is>
          <t>Hold
Strategy?</t>
        </is>
      </c>
      <c r="K3" s="7" t="inlineStr">
        <is>
          <t>Key Gen Level
Threshold</t>
        </is>
      </c>
      <c r="L3" s="7" t="inlineStr">
        <is>
          <t>Operator
Notes</t>
        </is>
      </c>
    </row>
    <row r="4">
      <c r="A4" s="121" t="inlineStr">
        <is>
          <t>🟢  ACTIVE LINES — Priority Targets for Sep – Nov</t>
        </is>
      </c>
    </row>
    <row r="5" ht="38.25" customHeight="1" s="111">
      <c r="A5" s="8" t="inlineStr">
        <is>
          <t>FORTMA-YELWJCKT 138KV</t>
        </is>
      </c>
      <c r="B5" s="9" t="inlineStr">
        <is>
          <t>🟢 Active</t>
        </is>
      </c>
      <c r="C5" s="11" t="inlineStr">
        <is>
          <t>HE21, HE20, HE23</t>
        </is>
      </c>
      <c r="D5" s="10" t="inlineStr">
        <is>
          <t>Mostly seen overnight. Correlated when west dips below coastal wind generation. West wind gen generally has to be below 3GW</t>
        </is>
      </c>
      <c r="E5" s="11" t="inlineStr">
        <is>
          <t>Junction (50.0%)</t>
        </is>
      </c>
      <c r="F5" s="12" t="n">
        <v>0.5</v>
      </c>
      <c r="G5" s="13" t="n">
        <v>250</v>
      </c>
      <c r="H5" s="13" t="n">
        <v>500</v>
      </c>
      <c r="I5" s="10" t="inlineStr">
        <is>
          <t>Discharge at SP ≥ $300-500/MWh
(MCC $250+ at primary node)</t>
        </is>
      </c>
      <c r="J5" s="10" t="inlineStr">
        <is>
          <t>Monitor trend; discharge on confirmed ramp</t>
        </is>
      </c>
      <c r="K5" s="10" t="n"/>
      <c r="L5" s="10" t="n"/>
    </row>
    <row r="6" ht="51" customHeight="1" s="111">
      <c r="A6" s="8" t="inlineStr">
        <is>
          <t>STP-ELMCREEK 345KV</t>
        </is>
      </c>
      <c r="B6" s="9" t="inlineStr">
        <is>
          <t>🟢 Active</t>
        </is>
      </c>
      <c r="C6" s="11" t="inlineStr">
        <is>
          <t>HE22, HE21, HE23</t>
        </is>
      </c>
      <c r="D6" s="10" t="inlineStr">
        <is>
          <t>Mostly correlated with low renewable generation on the grid. See the congestion overnight with low (sub 8gw) of wind gen on the grid</t>
        </is>
      </c>
      <c r="E6" s="11" t="inlineStr">
        <is>
          <t>Catarina (8.0%)</t>
        </is>
      </c>
      <c r="F6" s="12" t="n">
        <v>0.08</v>
      </c>
      <c r="G6" s="15" t="n">
        <v>40</v>
      </c>
      <c r="H6" s="16" t="n">
        <v>80</v>
      </c>
      <c r="I6" s="10" t="inlineStr">
        <is>
          <t>Discharge at SP ≥ $1000+/MWh
(Need strong pricing for good MCC)</t>
        </is>
      </c>
      <c r="J6" s="10" t="inlineStr">
        <is>
          <t>Monitor trend; discharge on confirmed ramp</t>
        </is>
      </c>
      <c r="K6" s="10" t="n"/>
      <c r="L6" s="10" t="n"/>
    </row>
    <row r="7" ht="38.25" customHeight="1" s="111">
      <c r="A7" s="8" t="inlineStr">
        <is>
          <t>WESTEX</t>
        </is>
      </c>
      <c r="B7" s="9" t="inlineStr">
        <is>
          <t>🟢 Active</t>
        </is>
      </c>
      <c r="C7" s="11" t="inlineStr">
        <is>
          <t>HE20, HE19, HE12</t>
        </is>
      </c>
      <c r="D7" s="10" t="inlineStr">
        <is>
          <t>See flare up in days of high renewable generation. Seen in all hours of the day but most common during solar ramps or when west Gen reaches above 15GW overnight.</t>
        </is>
      </c>
      <c r="E7" s="11" t="inlineStr">
        <is>
          <t>Diboll (19.4%)</t>
        </is>
      </c>
      <c r="F7" s="12" t="n">
        <v>0.19396</v>
      </c>
      <c r="G7" s="16" t="n">
        <v>96.98</v>
      </c>
      <c r="H7" s="13" t="n">
        <v>193.96</v>
      </c>
      <c r="I7" s="10" t="inlineStr">
        <is>
          <t>Discharge at SP ≥ $500-800/MWh
(MCC $97+ at node)</t>
        </is>
      </c>
      <c r="J7" s="10" t="inlineStr">
        <is>
          <t>Monitor trend; discharge on confirmed ramp</t>
        </is>
      </c>
      <c r="K7" s="10" t="n"/>
      <c r="L7" s="10" t="n"/>
    </row>
    <row r="8" ht="38.25" customHeight="1" s="111">
      <c r="A8" s="8" t="inlineStr">
        <is>
          <t>LNGSW-PRLSW 345KV</t>
        </is>
      </c>
      <c r="B8" s="9" t="inlineStr">
        <is>
          <t>🟢 Active</t>
        </is>
      </c>
      <c r="C8" s="11" t="inlineStr">
        <is>
          <t>HE1, HE2, HE24</t>
        </is>
      </c>
      <c r="D8" s="10" t="inlineStr">
        <is>
          <t>This congestion is seem mostly overnight. Main driver on this line is when we see west wind gen reach above 10GW.</t>
        </is>
      </c>
      <c r="E8" s="11" t="inlineStr">
        <is>
          <t>Judkins (21.3%)</t>
        </is>
      </c>
      <c r="F8" s="12" t="n">
        <v>0.21329</v>
      </c>
      <c r="G8" s="13" t="n">
        <v>106.645</v>
      </c>
      <c r="H8" s="13" t="n">
        <v>213.29</v>
      </c>
      <c r="I8" s="10" t="inlineStr">
        <is>
          <t>Discharge at SP ≥ $300-500/MWh
(MCC $107+ at primary node)</t>
        </is>
      </c>
      <c r="J8" s="10" t="inlineStr">
        <is>
          <t>Monitor trend; discharge on confirmed ramp</t>
        </is>
      </c>
      <c r="K8" s="10" t="n"/>
      <c r="L8" s="10" t="n"/>
    </row>
    <row r="9" ht="38.25" customHeight="1" s="111">
      <c r="A9" s="8" t="inlineStr">
        <is>
          <t>E_PASP</t>
        </is>
      </c>
      <c r="B9" s="9" t="inlineStr">
        <is>
          <t>🟢 Active</t>
        </is>
      </c>
      <c r="C9" s="11" t="inlineStr">
        <is>
          <t>HE20, HE19, HE18</t>
        </is>
      </c>
      <c r="D9" s="10" t="inlineStr">
        <is>
          <t>This sends Val Verde negative. Strongest during down ramps best theory for congestion here is when south load reaches 18GW+.</t>
        </is>
      </c>
      <c r="E9" s="11" t="inlineStr">
        <is>
          <t>Junction (4.0%)</t>
        </is>
      </c>
      <c r="F9" s="12" t="n">
        <v>0.04</v>
      </c>
      <c r="G9" s="15" t="n">
        <v>20</v>
      </c>
      <c r="H9" s="15" t="n">
        <v>40</v>
      </c>
      <c r="I9" s="10" t="inlineStr">
        <is>
          <t>Only strong pricing (SP&gt;$2000) creates meaningful MCC</t>
        </is>
      </c>
      <c r="J9" s="10" t="inlineStr">
        <is>
          <t>Monitor trend; discharge on confirmed ramp</t>
        </is>
      </c>
      <c r="K9" s="10" t="n"/>
      <c r="L9" s="10" t="n"/>
    </row>
    <row r="10" ht="38.25" customHeight="1" s="111">
      <c r="A10" s="8" t="inlineStr">
        <is>
          <t>NLARSW-PILONCIL 138KV</t>
        </is>
      </c>
      <c r="B10" s="9" t="inlineStr">
        <is>
          <t>🟢 Active</t>
        </is>
      </c>
      <c r="C10" s="11" t="inlineStr">
        <is>
          <t>HE24, HE1, HE2</t>
        </is>
      </c>
      <c r="D10" s="10" t="inlineStr">
        <is>
          <t>This is a newer congestion… started in Nov 2025. see this congestion with coastal wind gen at 2.5GW+. Same with south wind</t>
        </is>
      </c>
      <c r="E10" s="11" t="inlineStr">
        <is>
          <t>Catarina (26.0%)</t>
        </is>
      </c>
      <c r="F10" s="12" t="n">
        <v>0.26</v>
      </c>
      <c r="G10" s="13" t="n">
        <v>130</v>
      </c>
      <c r="H10" s="13" t="n">
        <v>260</v>
      </c>
      <c r="I10" s="10" t="inlineStr">
        <is>
          <t>Discharge at SP ≥ $300-500/MWh
(MCC $130+ at primary node)</t>
        </is>
      </c>
      <c r="J10" s="10" t="inlineStr">
        <is>
          <t>Monitor trend; discharge on confirmed ramp</t>
        </is>
      </c>
      <c r="K10" s="10" t="n"/>
      <c r="L10" s="10" t="n"/>
    </row>
    <row r="11" ht="51" customHeight="1" s="111">
      <c r="A11" s="8" t="inlineStr">
        <is>
          <t>MGSES-CATSW 345KV</t>
        </is>
      </c>
      <c r="B11" s="9" t="inlineStr">
        <is>
          <t>🟢 Active</t>
        </is>
      </c>
      <c r="C11" s="11" t="inlineStr">
        <is>
          <t>HE23, HE19, HE20</t>
        </is>
      </c>
      <c r="D11" s="10" t="inlineStr">
        <is>
          <t>Newer congestion (start Nov 2025). Mostly see this congestion with cooler weather in the west creating higher load levels (9gw+) and wind sub 8GW. This ould be the inbalance of demand and wind gen. look into that also maybe coastal wind gen</t>
        </is>
      </c>
      <c r="E11" s="11" t="inlineStr">
        <is>
          <t>Judkins (30.0%)</t>
        </is>
      </c>
      <c r="F11" s="12" t="n">
        <v>0.3</v>
      </c>
      <c r="G11" s="13" t="n">
        <v>150</v>
      </c>
      <c r="H11" s="13" t="n">
        <v>300</v>
      </c>
      <c r="I11" s="10" t="inlineStr">
        <is>
          <t>Discharge at SP ≥ $300-500/MWh
(MCC $150+ at primary node)</t>
        </is>
      </c>
      <c r="J11" s="10" t="inlineStr">
        <is>
          <t>Monitor trend; discharge on confirmed ramp</t>
        </is>
      </c>
      <c r="K11" s="10" t="n"/>
      <c r="L11" s="10" t="n"/>
    </row>
    <row r="12" ht="51" customHeight="1" s="111">
      <c r="A12" s="8" t="inlineStr">
        <is>
          <t>ESCONDID-GANSO 138KV</t>
        </is>
      </c>
      <c r="B12" s="9" t="inlineStr">
        <is>
          <t>🟢 Active</t>
        </is>
      </c>
      <c r="C12" s="11" t="inlineStr">
        <is>
          <t>HE8, HE9, HE1</t>
        </is>
      </c>
      <c r="D12" s="10" t="inlineStr">
        <is>
          <t>HE 10 saw the most shadow pricing but morning all around get best pricing. We see this congestion with low wind generation online, especially the west goin sub 3GW paired with WTX seeing a 9GW+ load</t>
        </is>
      </c>
      <c r="E12" s="11" t="inlineStr">
        <is>
          <t>Hamilton (40.4%)</t>
        </is>
      </c>
      <c r="F12" s="12" t="n">
        <v>0.4035</v>
      </c>
      <c r="G12" s="13" t="n">
        <v>201.75</v>
      </c>
      <c r="H12" s="13" t="n">
        <v>403.5</v>
      </c>
      <c r="I12" s="10" t="inlineStr">
        <is>
          <t>Discharge at SP ≥ $300-500/MWh
(MCC $202+ at primary node)</t>
        </is>
      </c>
      <c r="J12" s="10" t="inlineStr">
        <is>
          <t>Monitor trend; discharge on confirmed ramp</t>
        </is>
      </c>
      <c r="K12" s="10" t="n"/>
      <c r="L12" s="10" t="n"/>
    </row>
    <row r="13" ht="38.25" customHeight="1" s="111">
      <c r="A13" s="8" t="inlineStr">
        <is>
          <t>BCESW-SNDSW 345KV</t>
        </is>
      </c>
      <c r="B13" s="9" t="inlineStr">
        <is>
          <t>🟢 Active</t>
        </is>
      </c>
      <c r="C13" s="11" t="inlineStr">
        <is>
          <t>HE17, HE18, HE16</t>
        </is>
      </c>
      <c r="D13" s="10" t="inlineStr">
        <is>
          <t>Not much activity here during summer and winter. Also see this one when south wind is sub 1GW. Consistent factor also seems to be days of strong south load (15GW+) during the solar window</t>
        </is>
      </c>
      <c r="E13" s="11" t="inlineStr">
        <is>
          <t>Holcomb (11.0%)</t>
        </is>
      </c>
      <c r="F13" s="12" t="n">
        <v>0.11</v>
      </c>
      <c r="G13" s="16" t="n">
        <v>55</v>
      </c>
      <c r="H13" s="13" t="n">
        <v>110</v>
      </c>
      <c r="I13" s="10" t="inlineStr">
        <is>
          <t>Discharge at SP ≥ $500-800/MWh
(MCC $55+ at node)</t>
        </is>
      </c>
      <c r="J13" s="10" t="inlineStr">
        <is>
          <t>Monitor trend; discharge on confirmed ramp</t>
        </is>
      </c>
      <c r="K13" s="10" t="n"/>
      <c r="L13" s="10" t="n"/>
    </row>
    <row r="14" ht="45" customHeight="1" s="111">
      <c r="A14" s="8" t="inlineStr">
        <is>
          <t>Legend:</t>
        </is>
      </c>
      <c r="B14" s="9" t="inlineStr">
        <is>
          <t>🟢 Active = detailed MCC analysis completed</t>
        </is>
      </c>
      <c r="C14" s="11" t="n"/>
      <c r="D14" s="10" t="n"/>
      <c r="E14" s="11" t="inlineStr">
        <is>
          <t>—</t>
        </is>
      </c>
      <c r="F14" s="11" t="n"/>
      <c r="G14" s="11" t="n"/>
      <c r="H14" s="11" t="n"/>
      <c r="I14" s="10" t="inlineStr">
        <is>
          <t>Check MCC Calculator</t>
        </is>
      </c>
      <c r="J14" s="10" t="inlineStr">
        <is>
          <t>Monitor trend; discharge on confirmed ramp</t>
        </is>
      </c>
      <c r="K14" s="10" t="n"/>
      <c r="L14" s="10" t="n"/>
    </row>
    <row r="15">
      <c r="A15" s="119" t="inlineStr">
        <is>
          <t>🟡  WATCH LINES — Monitor Closely in Sep – Nov</t>
        </is>
      </c>
    </row>
    <row r="16" ht="38.25" customHeight="1" s="111">
      <c r="A16" s="17" t="inlineStr">
        <is>
          <t>MRVLY-ESTLD 69KV</t>
        </is>
      </c>
      <c r="B16" s="18" t="inlineStr">
        <is>
          <t>🟡 Watch</t>
        </is>
      </c>
      <c r="C16" s="20" t="inlineStr">
        <is>
          <t>HE20, HE19, HE21</t>
        </is>
      </c>
      <c r="D16" s="19" t="inlineStr">
        <is>
          <t>Also seems to be when we see north load reach above 15GW. Especially if it's the load leader by a big chunk on the grid. Look at 01/11 and 01/12</t>
        </is>
      </c>
      <c r="E16" s="20" t="inlineStr">
        <is>
          <t>Cisco (17.3%)</t>
        </is>
      </c>
      <c r="F16" s="21" t="n">
        <v>0.17348</v>
      </c>
      <c r="G16" s="54" t="n">
        <v>86.73999999999999</v>
      </c>
      <c r="H16" s="54" t="n">
        <v>173.48</v>
      </c>
      <c r="I16" s="19" t="inlineStr">
        <is>
          <t>Discharge at SP ≥ $500-800/MWh
(MCC $87+ at node)</t>
        </is>
      </c>
      <c r="J16" s="19" t="inlineStr">
        <is>
          <t>Discharge on sight</t>
        </is>
      </c>
      <c r="K16" s="19" t="n"/>
      <c r="L16" s="19" t="n"/>
    </row>
    <row r="17" ht="38.25" customHeight="1" s="111">
      <c r="A17" s="17" t="inlineStr">
        <is>
          <t>PALOUSE-WOLFCAMP 138KV</t>
        </is>
      </c>
      <c r="B17" s="18" t="inlineStr">
        <is>
          <t>🟡 Watch</t>
        </is>
      </c>
      <c r="C17" s="20" t="inlineStr">
        <is>
          <t>HE18, HE17, HE16</t>
        </is>
      </c>
      <c r="D17" s="19" t="inlineStr">
        <is>
          <t>Strongest pricing seen in the summer (hot). When RT West load gets up to 9GW we will see this, especially when solar is ramping offline.</t>
        </is>
      </c>
      <c r="E17" s="20" t="inlineStr">
        <is>
          <t>Russek (30.6%)</t>
        </is>
      </c>
      <c r="F17" s="21" t="n">
        <v>0.30569</v>
      </c>
      <c r="G17" s="54" t="n">
        <v>152.845</v>
      </c>
      <c r="H17" s="54" t="n">
        <v>305.69</v>
      </c>
      <c r="I17" s="19" t="inlineStr">
        <is>
          <t>Discharge at SP ≥ $300-500/MWh
(MCC $153+ at primary node)</t>
        </is>
      </c>
      <c r="J17" s="19" t="inlineStr">
        <is>
          <t>Discharge on sight</t>
        </is>
      </c>
      <c r="K17" s="19" t="n"/>
      <c r="L17" s="19" t="n"/>
    </row>
    <row r="18" ht="38.25" customHeight="1" s="111">
      <c r="A18" s="17" t="inlineStr">
        <is>
          <t>LPLMK-LPLNE 115KV</t>
        </is>
      </c>
      <c r="B18" s="18" t="inlineStr">
        <is>
          <t>🟡 Watch</t>
        </is>
      </c>
      <c r="C18" s="20" t="inlineStr">
        <is>
          <t>HE21, HE22, HE20</t>
        </is>
      </c>
      <c r="D18" s="19" t="inlineStr">
        <is>
          <t>Don't have very strong shift factors out here in the west but active pretty often when west wind levels go below 5GW but it's actually strong panhandle winds that is the cause.</t>
        </is>
      </c>
      <c r="E18" s="20" t="inlineStr">
        <is>
          <t>Judkins (1.6%)</t>
        </is>
      </c>
      <c r="F18" s="21" t="n">
        <v>0.01594</v>
      </c>
      <c r="G18" s="54" t="n">
        <v>7.97</v>
      </c>
      <c r="H18" s="54" t="n">
        <v>15.94</v>
      </c>
      <c r="I18" s="19" t="inlineStr">
        <is>
          <t>Only strong pricing (SP&gt;$2000) creates meaningful MCC</t>
        </is>
      </c>
      <c r="J18" s="19" t="inlineStr">
        <is>
          <t>Discharge on sight</t>
        </is>
      </c>
      <c r="K18" s="19" t="n"/>
      <c r="L18" s="19" t="n"/>
    </row>
    <row r="19" ht="25.5" customHeight="1" s="111">
      <c r="A19" s="17" t="inlineStr">
        <is>
          <t>HONDOCK-DEVINESW 69KV</t>
        </is>
      </c>
      <c r="B19" s="18" t="inlineStr">
        <is>
          <t>🟡 Watch</t>
        </is>
      </c>
      <c r="C19" s="20" t="inlineStr">
        <is>
          <t>HE16, HE18, HE17</t>
        </is>
      </c>
      <c r="D19" s="19" t="inlineStr">
        <is>
          <t>Newer constraint that showed up in January. Was strongest in march and april. Skip this one too weak of shift factor</t>
        </is>
      </c>
      <c r="E19" s="20" t="inlineStr">
        <is>
          <t>—</t>
        </is>
      </c>
      <c r="F19" s="20" t="n"/>
      <c r="G19" s="20" t="n"/>
      <c r="H19" s="20" t="n"/>
      <c r="I19" s="19" t="inlineStr">
        <is>
          <t>Check MCC Calculator</t>
        </is>
      </c>
      <c r="J19" s="19" t="inlineStr">
        <is>
          <t>Discharge on sight</t>
        </is>
      </c>
      <c r="K19" s="19" t="n"/>
      <c r="L19" s="19" t="n"/>
    </row>
    <row r="20" ht="38.25" customHeight="1" s="111">
      <c r="A20" s="17" t="inlineStr">
        <is>
          <t>I_FW_N</t>
        </is>
      </c>
      <c r="B20" s="18" t="inlineStr">
        <is>
          <t>🟡 Watch</t>
        </is>
      </c>
      <c r="C20" s="20" t="inlineStr">
        <is>
          <t>HE5, HE6, HE4</t>
        </is>
      </c>
      <c r="D20" s="19" t="inlineStr">
        <is>
          <t>Never really see enough shadow pricing to create strong MCC's here. I also don't see one single issue</t>
        </is>
      </c>
      <c r="E20" s="20" t="inlineStr">
        <is>
          <t>Judkins (15.7%)</t>
        </is>
      </c>
      <c r="F20" s="21" t="n">
        <v>0.1566</v>
      </c>
      <c r="G20" s="54" t="n">
        <v>78.3</v>
      </c>
      <c r="H20" s="54" t="n">
        <v>156.6</v>
      </c>
      <c r="I20" s="19" t="inlineStr">
        <is>
          <t>Discharge at SP ≥ $500-800/MWh
(MCC $78+ at node)</t>
        </is>
      </c>
      <c r="J20" s="19" t="inlineStr">
        <is>
          <t>Discharge on sight</t>
        </is>
      </c>
      <c r="K20" s="19" t="n"/>
      <c r="L20" s="19" t="n"/>
    </row>
    <row r="21" ht="38.25" customHeight="1" s="111">
      <c r="A21" s="17" t="inlineStr">
        <is>
          <t>CARVER-TINSLEY 138KV</t>
        </is>
      </c>
      <c r="B21" s="18" t="inlineStr">
        <is>
          <t>🟡 Watch</t>
        </is>
      </c>
      <c r="C21" s="20" t="inlineStr">
        <is>
          <t>HE21, HE20, HE22</t>
        </is>
      </c>
      <c r="D21" s="19" t="inlineStr">
        <is>
          <t>Most shadow pricing seen in HE11 and 12. See this with West wind at 10GW+ coupled with sub 2GW coastal winds</t>
        </is>
      </c>
      <c r="E21" s="20" t="inlineStr">
        <is>
          <t>Hamilton (32.3%)</t>
        </is>
      </c>
      <c r="F21" s="21" t="n">
        <v>0.32323</v>
      </c>
      <c r="G21" s="54" t="n">
        <v>161.615</v>
      </c>
      <c r="H21" s="54" t="n">
        <v>323.23</v>
      </c>
      <c r="I21" s="19" t="inlineStr">
        <is>
          <t>Discharge at SP ≥ $300-500/MWh
(MCC $162+ at primary node)</t>
        </is>
      </c>
      <c r="J21" s="19" t="inlineStr">
        <is>
          <t>Discharge on sight</t>
        </is>
      </c>
      <c r="K21" s="19" t="n"/>
      <c r="L21" s="19" t="n"/>
    </row>
    <row r="22" ht="38.25" customHeight="1" s="111">
      <c r="A22" s="17" t="inlineStr">
        <is>
          <t>MADDUX-TREADWEL 138KV</t>
        </is>
      </c>
      <c r="B22" s="18" t="inlineStr">
        <is>
          <t>🟡 Watch</t>
        </is>
      </c>
      <c r="C22" s="20" t="inlineStr">
        <is>
          <t>HE17, HE18, HE16</t>
        </is>
      </c>
      <c r="D22" s="19" t="inlineStr">
        <is>
          <t>Haven't seen much post RTC+B should be interesting to look out for. Can't find much of a driver here.</t>
        </is>
      </c>
      <c r="E22" s="20" t="inlineStr">
        <is>
          <t>Junction (39.3%)</t>
        </is>
      </c>
      <c r="F22" s="21" t="n">
        <v>0.39252</v>
      </c>
      <c r="G22" s="54" t="n">
        <v>196.26</v>
      </c>
      <c r="H22" s="54" t="n">
        <v>392.52</v>
      </c>
      <c r="I22" s="19" t="inlineStr">
        <is>
          <t>Discharge at SP ≥ $300-500/MWh
(MCC $196+ at primary node)</t>
        </is>
      </c>
      <c r="J22" s="19" t="inlineStr">
        <is>
          <t>Discharge on sight</t>
        </is>
      </c>
      <c r="K22" s="19" t="n"/>
      <c r="L22" s="19" t="n"/>
    </row>
    <row r="23" ht="38.25" customHeight="1" s="111">
      <c r="A23" s="17" t="inlineStr">
        <is>
          <t>MAXWELL-HAMILTON 138KV</t>
        </is>
      </c>
      <c r="B23" s="18" t="inlineStr">
        <is>
          <t>🟡 Watch</t>
        </is>
      </c>
      <c r="C23" s="20" t="inlineStr">
        <is>
          <t>HE2, HE24, HE1</t>
        </is>
      </c>
      <c r="D23" s="19" t="inlineStr">
        <is>
          <t>Will be interesting to see if this still plays in Post RTC + B. Associated with 13+GW of west wind generation.</t>
        </is>
      </c>
      <c r="E23" s="20" t="inlineStr">
        <is>
          <t>Hamilton (23.0%)</t>
        </is>
      </c>
      <c r="F23" s="21" t="n">
        <v>0.22977</v>
      </c>
      <c r="G23" s="54" t="n">
        <v>114.885</v>
      </c>
      <c r="H23" s="54" t="n">
        <v>229.77</v>
      </c>
      <c r="I23" s="19" t="inlineStr">
        <is>
          <t>Discharge at SP ≥ $300-500/MWh
(MCC $115+ at primary node)</t>
        </is>
      </c>
      <c r="J23" s="19" t="inlineStr">
        <is>
          <t>Discharge on sight</t>
        </is>
      </c>
      <c r="K23" s="19" t="n"/>
      <c r="L23" s="19" t="n"/>
    </row>
    <row r="24" ht="51" customHeight="1" s="111">
      <c r="A24" s="17" t="inlineStr">
        <is>
          <t>SONR-ATSO 69KV</t>
        </is>
      </c>
      <c r="B24" s="18" t="inlineStr">
        <is>
          <t>🟡 Watch</t>
        </is>
      </c>
      <c r="C24" s="20" t="inlineStr">
        <is>
          <t>HE1, HE3, HE2</t>
        </is>
      </c>
      <c r="D24" s="19" t="inlineStr">
        <is>
          <t>Don't really know what the driver is here. It could be west load surpassing 9GW+ overnight but not sure how common that is. The west wind levels are not very reliable but could be attributed with Low west winds OR high west winds</t>
        </is>
      </c>
      <c r="E24" s="20" t="inlineStr">
        <is>
          <t>Russek (5.0%)</t>
        </is>
      </c>
      <c r="F24" s="21" t="n">
        <v>0.05</v>
      </c>
      <c r="G24" s="54" t="n">
        <v>25</v>
      </c>
      <c r="H24" s="54" t="n">
        <v>50</v>
      </c>
      <c r="I24" s="19" t="inlineStr">
        <is>
          <t>Discharge at SP ≥ $1000+/MWh
(Need strong pricing for good MCC)</t>
        </is>
      </c>
      <c r="J24" s="19" t="inlineStr">
        <is>
          <t>Discharge on sight</t>
        </is>
      </c>
      <c r="K24" s="19" t="n"/>
      <c r="L24" s="19" t="n"/>
    </row>
    <row r="25" ht="38.25" customHeight="1" s="111">
      <c r="A25" s="17" t="inlineStr">
        <is>
          <t>BRUNI 138KV</t>
        </is>
      </c>
      <c r="B25" s="18" t="inlineStr">
        <is>
          <t>🟡 Watch</t>
        </is>
      </c>
      <c r="C25" s="20" t="inlineStr">
        <is>
          <t>HE23, HE22, HE21</t>
        </is>
      </c>
      <c r="D25" s="19" t="inlineStr">
        <is>
          <t>Our shift factors are only like 1% so can't really include this one. Maybe associated with 1.5GW+ of south wind gen</t>
        </is>
      </c>
      <c r="E25" s="20" t="inlineStr">
        <is>
          <t>Catarina (1.0%)</t>
        </is>
      </c>
      <c r="F25" s="21" t="n">
        <v>0.01044</v>
      </c>
      <c r="G25" s="54" t="n">
        <v>5.22</v>
      </c>
      <c r="H25" s="54" t="n">
        <v>10.44</v>
      </c>
      <c r="I25" s="19" t="inlineStr">
        <is>
          <t>Only strong pricing (SP&gt;$2000) creates meaningful MCC</t>
        </is>
      </c>
      <c r="J25" s="19" t="inlineStr">
        <is>
          <t>Discharge on sight</t>
        </is>
      </c>
      <c r="K25" s="19" t="n"/>
      <c r="L25" s="19" t="n"/>
    </row>
    <row r="26" ht="38.25" customHeight="1" s="111">
      <c r="A26" s="17" t="inlineStr">
        <is>
          <t>CRTRVLLE-HILGR 138KV</t>
        </is>
      </c>
      <c r="B26" s="18" t="inlineStr">
        <is>
          <t>🟡 Watch</t>
        </is>
      </c>
      <c r="C26" s="20" t="inlineStr">
        <is>
          <t>HE1, HE2, HE23</t>
        </is>
      </c>
      <c r="D26" s="19" t="inlineStr">
        <is>
          <t>Never rlly seen MCC's over $50 for our west sites so not much to report on here. Driver here is 10GW+ of west wind gen</t>
        </is>
      </c>
      <c r="E26" s="20" t="inlineStr">
        <is>
          <t>Judkins (4.0%)</t>
        </is>
      </c>
      <c r="F26" s="21" t="n">
        <v>0.04</v>
      </c>
      <c r="G26" s="54" t="n">
        <v>20</v>
      </c>
      <c r="H26" s="54" t="n">
        <v>40</v>
      </c>
      <c r="I26" s="19" t="inlineStr">
        <is>
          <t>Only strong pricing (SP&gt;$2000) creates meaningful MCC</t>
        </is>
      </c>
      <c r="J26" s="19" t="inlineStr">
        <is>
          <t>Discharge on sight</t>
        </is>
      </c>
      <c r="K26" s="19" t="n"/>
      <c r="L26" s="19" t="n"/>
    </row>
    <row r="27" ht="38.25" customHeight="1" s="111">
      <c r="A27" s="17" t="inlineStr">
        <is>
          <t>PILONCIL-NLARSW 138KV</t>
        </is>
      </c>
      <c r="B27" s="18" t="inlineStr">
        <is>
          <t>🟡 Watch</t>
        </is>
      </c>
      <c r="C27" s="20" t="inlineStr">
        <is>
          <t>HE16, HE15, HE17</t>
        </is>
      </c>
      <c r="D27" s="19" t="inlineStr">
        <is>
          <t>see this with really low coastal and south winds. Like sub 1GW for each.</t>
        </is>
      </c>
      <c r="E27" s="20" t="inlineStr">
        <is>
          <t>Holcomb (23.8%)</t>
        </is>
      </c>
      <c r="F27" s="21" t="n">
        <v>0.23807</v>
      </c>
      <c r="G27" s="54" t="n">
        <v>119.035</v>
      </c>
      <c r="H27" s="54" t="n">
        <v>238.07</v>
      </c>
      <c r="I27" s="19" t="inlineStr">
        <is>
          <t>Discharge at SP ≥ $300-500/MWh
(MCC $119+ at primary node)</t>
        </is>
      </c>
      <c r="J27" s="19" t="inlineStr">
        <is>
          <t>Discharge on sight</t>
        </is>
      </c>
      <c r="K27" s="19" t="n"/>
      <c r="L27" s="19" t="n"/>
    </row>
    <row r="28" ht="25.5" customHeight="1" s="111">
      <c r="A28" s="17" t="inlineStr">
        <is>
          <t>MCCAMY</t>
        </is>
      </c>
      <c r="B28" s="18" t="inlineStr">
        <is>
          <t>🟡 Watch</t>
        </is>
      </c>
      <c r="C28" s="20" t="inlineStr">
        <is>
          <t>HE13, HE12, HE14</t>
        </is>
      </c>
      <c r="D28" s="19" t="inlineStr">
        <is>
          <t>Delete, don’t see any shadow pricing</t>
        </is>
      </c>
      <c r="E28" s="20" t="inlineStr">
        <is>
          <t>—</t>
        </is>
      </c>
      <c r="F28" s="20" t="n"/>
      <c r="G28" s="20" t="n"/>
      <c r="H28" s="20" t="n"/>
      <c r="I28" s="19" t="inlineStr">
        <is>
          <t>Check MCC Calculator</t>
        </is>
      </c>
      <c r="J28" s="19" t="inlineStr">
        <is>
          <t>Discharge on sight</t>
        </is>
      </c>
      <c r="K28" s="19" t="n"/>
      <c r="L28" s="19" t="n"/>
    </row>
    <row r="29" ht="51" customHeight="1" s="111">
      <c r="A29" s="17" t="inlineStr">
        <is>
          <t>CMNSW-CMNTP 138KV</t>
        </is>
      </c>
      <c r="B29" s="18" t="inlineStr">
        <is>
          <t>🟡 Watch</t>
        </is>
      </c>
      <c r="C29" s="20" t="inlineStr">
        <is>
          <t>HE17, HE19, HE18</t>
        </is>
      </c>
      <c r="D29" s="19" t="inlineStr">
        <is>
          <t>Get this congestion when coastal winds surpass 2.7GW+ of coastal gen. When system wide wind gen reaches to 20GW+ is where we get the best shadow pricing. Don't get much pricing from here though with low shift factors</t>
        </is>
      </c>
      <c r="E29" s="20" t="inlineStr">
        <is>
          <t>Cisco (5.0%)</t>
        </is>
      </c>
      <c r="F29" s="21" t="n">
        <v>0.05</v>
      </c>
      <c r="G29" s="54" t="n">
        <v>25</v>
      </c>
      <c r="H29" s="54" t="n">
        <v>50</v>
      </c>
      <c r="I29" s="19" t="inlineStr">
        <is>
          <t>Discharge at SP ≥ $1000+/MWh
(Need strong pricing for good MCC)</t>
        </is>
      </c>
      <c r="J29" s="19" t="inlineStr">
        <is>
          <t>Discharge on sight</t>
        </is>
      </c>
      <c r="K29" s="19" t="n"/>
      <c r="L29" s="19" t="n"/>
    </row>
    <row r="30" ht="38.25" customHeight="1" s="111">
      <c r="A30" s="17" t="inlineStr">
        <is>
          <t>WOLFCAMP-SANTARIT 138KV</t>
        </is>
      </c>
      <c r="B30" s="18" t="inlineStr">
        <is>
          <t>🟡 Watch</t>
        </is>
      </c>
      <c r="C30" s="20" t="inlineStr">
        <is>
          <t>HE17, HE16, HE19</t>
        </is>
      </c>
      <c r="D30" s="19" t="inlineStr">
        <is>
          <t>No specific driver I can find here. Russek has a 32% shift factor here. High temps also tend to flair up this line. Only saw for 2 days in April</t>
        </is>
      </c>
      <c r="E30" s="20" t="inlineStr">
        <is>
          <t>Russek (31.7%)</t>
        </is>
      </c>
      <c r="F30" s="21" t="n">
        <v>0.31739</v>
      </c>
      <c r="G30" s="54" t="n">
        <v>158.695</v>
      </c>
      <c r="H30" s="54" t="n">
        <v>317.39</v>
      </c>
      <c r="I30" s="19" t="inlineStr">
        <is>
          <t>Discharge at SP ≥ $300-500/MWh
(MCC $159+ at primary node)</t>
        </is>
      </c>
      <c r="J30" s="19" t="inlineStr">
        <is>
          <t>Discharge on sight</t>
        </is>
      </c>
      <c r="K30" s="19" t="n"/>
      <c r="L30" s="19" t="n"/>
    </row>
    <row r="31" ht="25.5" customHeight="1" s="111">
      <c r="A31" s="17" t="inlineStr">
        <is>
          <t>LHSES-PRCSW 138KV</t>
        </is>
      </c>
      <c r="B31" s="18" t="inlineStr">
        <is>
          <t>🟡 Watch</t>
        </is>
      </c>
      <c r="C31" s="20" t="inlineStr">
        <is>
          <t>HE20, HE19, HE17</t>
        </is>
      </c>
      <c r="D31" s="19" t="inlineStr">
        <is>
          <t>Skip this one. Only -5% shift factor here at North sites</t>
        </is>
      </c>
      <c r="E31" s="20" t="inlineStr">
        <is>
          <t>—</t>
        </is>
      </c>
      <c r="F31" s="20" t="n"/>
      <c r="G31" s="20" t="n"/>
      <c r="H31" s="20" t="n"/>
      <c r="I31" s="19" t="inlineStr">
        <is>
          <t>Check MCC Calculator</t>
        </is>
      </c>
      <c r="J31" s="19" t="inlineStr">
        <is>
          <t>Discharge on sight</t>
        </is>
      </c>
      <c r="K31" s="19" t="n"/>
      <c r="L31" s="19" t="n"/>
    </row>
    <row r="32" ht="51" customHeight="1" s="111">
      <c r="A32" s="17" t="inlineStr">
        <is>
          <t>FMRVL-RYSSW 345KV</t>
        </is>
      </c>
      <c r="B32" s="18" t="inlineStr">
        <is>
          <t>🟡 Watch</t>
        </is>
      </c>
      <c r="C32" s="20" t="inlineStr">
        <is>
          <t>HE17, HE16, HE15</t>
        </is>
      </c>
      <c r="D32" s="19" t="inlineStr">
        <is>
          <t>Dibol only has a 6% shift factor here but seen shadow pricing in the thousands. Only saw decent shadow pricing for one day. Delete</t>
        </is>
      </c>
      <c r="E32" s="20" t="inlineStr">
        <is>
          <t>Diboll (5.2%)</t>
        </is>
      </c>
      <c r="F32" s="21" t="n">
        <v>0.05227</v>
      </c>
      <c r="G32" s="54" t="n">
        <v>26.135</v>
      </c>
      <c r="H32" s="54" t="n">
        <v>52.27</v>
      </c>
      <c r="I32" s="19" t="inlineStr">
        <is>
          <t>Discharge at SP ≥ $1000+/MWh
(Need strong pricing for good MCC)</t>
        </is>
      </c>
      <c r="J32" s="19" t="inlineStr">
        <is>
          <t>Discharge on sight</t>
        </is>
      </c>
      <c r="K32" s="19" t="n"/>
      <c r="L32" s="19" t="n"/>
    </row>
  </sheetData>
  <mergeCells count="4">
    <mergeCell ref="A15:L15"/>
    <mergeCell ref="A2:N2"/>
    <mergeCell ref="A4:L4"/>
    <mergeCell ref="A1:N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565C0"/>
    <outlinePr summaryBelow="1" summaryRight="1"/>
    <pageSetUpPr/>
  </sheetPr>
  <dimension ref="A1:N39"/>
  <sheetViews>
    <sheetView zoomScaleNormal="100" workbookViewId="0">
      <pane xSplit="1" ySplit="3" topLeftCell="B4" activePane="bottomRight" state="frozen"/>
      <selection pane="topRight" activeCell="B1" sqref="B1"/>
      <selection pane="bottomLeft" activeCell="A4" sqref="A4"/>
      <selection pane="bottomRight" activeCell="A1" sqref="A1:N1"/>
    </sheetView>
  </sheetViews>
  <sheetFormatPr baseColWidth="8" defaultColWidth="8.7109375" defaultRowHeight="15"/>
  <cols>
    <col width="28" customWidth="1" style="111" min="1" max="1"/>
    <col width="10" customWidth="1" style="111" min="2" max="2"/>
    <col width="13" customWidth="1" style="111" min="3" max="3"/>
    <col width="40" customWidth="1" style="111" min="4" max="4"/>
    <col width="13" customWidth="1" style="111" min="5" max="5"/>
    <col width="9" customWidth="1" style="111" min="6" max="6"/>
    <col width="11" customWidth="1" style="111" min="7" max="8"/>
    <col width="28" customWidth="1" style="111" min="9" max="9"/>
    <col width="20" customWidth="1" style="111" min="10" max="10"/>
    <col width="22" customWidth="1" style="111" min="11" max="11"/>
    <col width="32" customWidth="1" style="111" min="12" max="12"/>
  </cols>
  <sheetData>
    <row r="1" ht="30" customHeight="1" s="111">
      <c r="A1" s="112" t="inlineStr">
        <is>
          <t>WINTER CONGESTION PLAYBOOK  |  Dec – Feb</t>
        </is>
      </c>
    </row>
    <row r="2" ht="24" customHeight="1" s="111">
      <c r="A2" s="123" t="inlineStr">
        <is>
          <t>Cold load events. Low renewables overnight. STP-ELMCREEK very active.</t>
        </is>
      </c>
    </row>
    <row r="3" ht="36" customHeight="1" s="111">
      <c r="A3" s="7" t="inlineStr">
        <is>
          <t>Line / Constraint</t>
        </is>
      </c>
      <c r="B3" s="7" t="inlineStr">
        <is>
          <t>Priority</t>
        </is>
      </c>
      <c r="C3" s="7" t="inlineStr">
        <is>
          <t>Peak HE
(Best Hours)</t>
        </is>
      </c>
      <c r="D3" s="7" t="inlineStr">
        <is>
          <t>Driver / Trigger</t>
        </is>
      </c>
      <c r="E3" s="7" t="inlineStr">
        <is>
          <t>Primary Node</t>
        </is>
      </c>
      <c r="F3" s="7" t="inlineStr">
        <is>
          <t>SF (%)</t>
        </is>
      </c>
      <c r="G3" s="7" t="inlineStr">
        <is>
          <t>MCC @
$500 SP</t>
        </is>
      </c>
      <c r="H3" s="7" t="inlineStr">
        <is>
          <t>MCC @
$1000 SP</t>
        </is>
      </c>
      <c r="I3" s="7" t="inlineStr">
        <is>
          <t>Discharge
Guidance</t>
        </is>
      </c>
      <c r="J3" s="7" t="inlineStr">
        <is>
          <t>Hold
Strategy?</t>
        </is>
      </c>
      <c r="K3" s="7" t="inlineStr">
        <is>
          <t>Key Gen Level
Threshold</t>
        </is>
      </c>
      <c r="L3" s="7" t="inlineStr">
        <is>
          <t>Operator
Notes</t>
        </is>
      </c>
    </row>
    <row r="4" ht="21.75" customHeight="1" s="111">
      <c r="A4" s="121" t="inlineStr">
        <is>
          <t>🟢  ACTIVE LINES — Priority Targets for Dec – Feb</t>
        </is>
      </c>
    </row>
    <row r="5" ht="51.75" customHeight="1" s="111">
      <c r="A5" s="8" t="inlineStr">
        <is>
          <t>TWINBU-HARGROVE 138KV</t>
        </is>
      </c>
      <c r="B5" s="9" t="inlineStr">
        <is>
          <t>🟢 Active</t>
        </is>
      </c>
      <c r="C5" s="11" t="inlineStr">
        <is>
          <t>HE5, HE6, HE4</t>
        </is>
      </c>
      <c r="D5" s="10" t="inlineStr">
        <is>
          <t>West wind sub 5GW is when we see it strongest. Possible to see around sub 8Gw</t>
        </is>
      </c>
      <c r="E5" s="11" t="inlineStr">
        <is>
          <t>Russek (31.7%)</t>
        </is>
      </c>
      <c r="F5" s="12" t="n">
        <v>0.31665</v>
      </c>
      <c r="G5" s="13" t="n">
        <v>158.325</v>
      </c>
      <c r="H5" s="13" t="n">
        <v>316.65</v>
      </c>
      <c r="I5" s="10" t="inlineStr">
        <is>
          <t>Discharge at SP ≥ $300-500/MWh
(MCC $158+ at primary node)</t>
        </is>
      </c>
      <c r="J5" s="10" t="inlineStr">
        <is>
          <t>Yes — hold for higher pricing overnight</t>
        </is>
      </c>
      <c r="K5" s="10" t="n"/>
      <c r="L5" s="10" t="inlineStr">
        <is>
          <t>Willing to sit on high pricing HE20-24.</t>
        </is>
      </c>
    </row>
    <row r="6" ht="51.75" customHeight="1" s="111">
      <c r="A6" s="8" t="inlineStr">
        <is>
          <t>FORTMA-YELWJCKT 138KV</t>
        </is>
      </c>
      <c r="B6" s="9" t="inlineStr">
        <is>
          <t>🟢 Active</t>
        </is>
      </c>
      <c r="C6" s="11" t="inlineStr">
        <is>
          <t>HE21, HE20, HE23</t>
        </is>
      </c>
      <c r="D6" s="10" t="inlineStr">
        <is>
          <t>Mostly seen overnight. Correlated when west dips below coastal wind generation. West wind gen generally has to be below 3GW</t>
        </is>
      </c>
      <c r="E6" s="11" t="inlineStr">
        <is>
          <t>Junction (50.0%)</t>
        </is>
      </c>
      <c r="F6" s="12" t="n">
        <v>0.5</v>
      </c>
      <c r="G6" s="13" t="n">
        <v>250</v>
      </c>
      <c r="H6" s="13" t="n">
        <v>500</v>
      </c>
      <c r="I6" s="10" t="inlineStr">
        <is>
          <t>Discharge at SP ≥ $300-500/MWh
(MCC $250+ at primary node)</t>
        </is>
      </c>
      <c r="J6" s="10" t="inlineStr">
        <is>
          <t>Monitor trend; discharge on confirmed ramp</t>
        </is>
      </c>
      <c r="K6" s="10" t="n"/>
      <c r="L6" s="10" t="n"/>
    </row>
    <row r="7" ht="51.75" customHeight="1" s="111">
      <c r="A7" s="8" t="inlineStr">
        <is>
          <t>STP-ELMCREEK 345KV</t>
        </is>
      </c>
      <c r="B7" s="9" t="inlineStr">
        <is>
          <t>🟢 Active</t>
        </is>
      </c>
      <c r="C7" s="11" t="inlineStr">
        <is>
          <t>HE22, HE21, HE23</t>
        </is>
      </c>
      <c r="D7" s="10" t="inlineStr">
        <is>
          <t>Mostly correlated with low renewable generation on the grid. See the congestion overnight with low (sub 8gw) of wind gen on the grid</t>
        </is>
      </c>
      <c r="E7" s="11" t="inlineStr">
        <is>
          <t>Catarina (8.0%)</t>
        </is>
      </c>
      <c r="F7" s="12" t="n">
        <v>0.08</v>
      </c>
      <c r="G7" s="15" t="n">
        <v>40</v>
      </c>
      <c r="H7" s="16" t="n">
        <v>80</v>
      </c>
      <c r="I7" s="10" t="inlineStr">
        <is>
          <t>Discharge at SP ≥ $1000+/MWh
(Need strong pricing for good MCC)</t>
        </is>
      </c>
      <c r="J7" s="10" t="inlineStr">
        <is>
          <t>Monitor trend; discharge on confirmed ramp</t>
        </is>
      </c>
      <c r="K7" s="10" t="n"/>
      <c r="L7" s="10" t="n"/>
    </row>
    <row r="8" ht="51.75" customHeight="1" s="111">
      <c r="A8" s="8" t="inlineStr">
        <is>
          <t>LASCRUCE-MILO 138KV</t>
        </is>
      </c>
      <c r="B8" s="9" t="inlineStr">
        <is>
          <t>🟢 Active</t>
        </is>
      </c>
      <c r="C8" s="11" t="inlineStr">
        <is>
          <t>HE20, HE19, HE21</t>
        </is>
      </c>
      <c r="D8" s="10" t="inlineStr">
        <is>
          <t>south AND coastal wind gen at 2GW+</t>
        </is>
      </c>
      <c r="E8" s="11" t="inlineStr">
        <is>
          <t>Holcomb (28.0%)</t>
        </is>
      </c>
      <c r="F8" s="12" t="n">
        <v>0.28025</v>
      </c>
      <c r="G8" s="13" t="n">
        <v>140.125</v>
      </c>
      <c r="H8" s="13" t="n">
        <v>280.25</v>
      </c>
      <c r="I8" s="10" t="inlineStr">
        <is>
          <t>Discharge at SP ≥ $300-500/MWh
(MCC $140+ at primary node)</t>
        </is>
      </c>
      <c r="J8" s="10" t="inlineStr">
        <is>
          <t>Monitor trend; discharge on confirmed ramp</t>
        </is>
      </c>
      <c r="K8" s="10" t="n"/>
      <c r="L8" s="10" t="n"/>
    </row>
    <row r="9" ht="51.75" customHeight="1" s="111">
      <c r="A9" s="8" t="inlineStr">
        <is>
          <t>WESTEX</t>
        </is>
      </c>
      <c r="B9" s="9" t="inlineStr">
        <is>
          <t>🟢 Active</t>
        </is>
      </c>
      <c r="C9" s="11" t="inlineStr">
        <is>
          <t>HE20, HE19, HE12</t>
        </is>
      </c>
      <c r="D9" s="10" t="inlineStr">
        <is>
          <t>See flare up in days of high renewable generation. Seen in all hours of the day but most common during solar ramps or when west Gen reaches above 15GW overnight.</t>
        </is>
      </c>
      <c r="E9" s="11" t="inlineStr">
        <is>
          <t>Diboll (19.4%)</t>
        </is>
      </c>
      <c r="F9" s="12" t="n">
        <v>0.19396</v>
      </c>
      <c r="G9" s="16" t="n">
        <v>96.98</v>
      </c>
      <c r="H9" s="13" t="n">
        <v>193.96</v>
      </c>
      <c r="I9" s="10" t="inlineStr">
        <is>
          <t>Discharge at SP ≥ $500-800/MWh
(MCC $97+ at node)</t>
        </is>
      </c>
      <c r="J9" s="10" t="inlineStr">
        <is>
          <t>Monitor trend; discharge on confirmed ramp</t>
        </is>
      </c>
      <c r="K9" s="10" t="n"/>
      <c r="L9" s="10" t="n"/>
    </row>
    <row r="10" ht="51.75" customHeight="1" s="111">
      <c r="A10" s="8" t="inlineStr">
        <is>
          <t>LNGSW-PRLSW 345KV</t>
        </is>
      </c>
      <c r="B10" s="9" t="inlineStr">
        <is>
          <t>🟢 Active</t>
        </is>
      </c>
      <c r="C10" s="11" t="inlineStr">
        <is>
          <t>HE1, HE2, HE24</t>
        </is>
      </c>
      <c r="D10" s="10" t="inlineStr">
        <is>
          <t>This congestion is seem mostly overnight. Main driver on this line is when we see west wind gen reach above 10GW.</t>
        </is>
      </c>
      <c r="E10" s="11" t="inlineStr">
        <is>
          <t>Judkins (21.3%)</t>
        </is>
      </c>
      <c r="F10" s="12" t="n">
        <v>0.21329</v>
      </c>
      <c r="G10" s="13" t="n">
        <v>106.645</v>
      </c>
      <c r="H10" s="13" t="n">
        <v>213.29</v>
      </c>
      <c r="I10" s="10" t="inlineStr">
        <is>
          <t>Discharge at SP ≥ $300-500/MWh
(MCC $107+ at primary node)</t>
        </is>
      </c>
      <c r="J10" s="10" t="inlineStr">
        <is>
          <t>Monitor trend; discharge on confirmed ramp</t>
        </is>
      </c>
      <c r="K10" s="10" t="n"/>
      <c r="L10" s="10" t="n"/>
    </row>
    <row r="11" ht="51.75" customHeight="1" s="111">
      <c r="A11" s="8" t="inlineStr">
        <is>
          <t>E_PASP</t>
        </is>
      </c>
      <c r="B11" s="9" t="inlineStr">
        <is>
          <t>🟢 Active</t>
        </is>
      </c>
      <c r="C11" s="11" t="inlineStr">
        <is>
          <t>HE20, HE19, HE18</t>
        </is>
      </c>
      <c r="D11" s="10" t="inlineStr">
        <is>
          <t>This sends Val Verde negative. Strongest during down ramps best theory for congestion here is when south load reaches 18GW+.</t>
        </is>
      </c>
      <c r="E11" s="11" t="inlineStr">
        <is>
          <t>Junction (4.0%)</t>
        </is>
      </c>
      <c r="F11" s="12" t="n">
        <v>0.04</v>
      </c>
      <c r="G11" s="15" t="n">
        <v>20</v>
      </c>
      <c r="H11" s="15" t="n">
        <v>40</v>
      </c>
      <c r="I11" s="10" t="inlineStr">
        <is>
          <t>Only strong pricing (SP&gt;$2000) creates meaningful MCC</t>
        </is>
      </c>
      <c r="J11" s="10" t="inlineStr">
        <is>
          <t>Monitor trend; discharge on confirmed ramp</t>
        </is>
      </c>
      <c r="K11" s="10" t="n"/>
      <c r="L11" s="10" t="n"/>
    </row>
    <row r="12" ht="51.75" customHeight="1" s="111">
      <c r="A12" s="8" t="inlineStr">
        <is>
          <t>NLARSW-PILONCIL 138KV</t>
        </is>
      </c>
      <c r="B12" s="9" t="inlineStr">
        <is>
          <t>🟢 Active</t>
        </is>
      </c>
      <c r="C12" s="11" t="inlineStr">
        <is>
          <t>HE24, HE1, HE2</t>
        </is>
      </c>
      <c r="D12" s="10" t="inlineStr">
        <is>
          <t>This is a newer congestion… started in Nov 2025. see this congestion with coastal wind gen at 2.5GW+. Same with south wind</t>
        </is>
      </c>
      <c r="E12" s="11" t="inlineStr">
        <is>
          <t>Catarina (26.0%)</t>
        </is>
      </c>
      <c r="F12" s="12" t="n">
        <v>0.26</v>
      </c>
      <c r="G12" s="13" t="n">
        <v>130</v>
      </c>
      <c r="H12" s="13" t="n">
        <v>260</v>
      </c>
      <c r="I12" s="10" t="inlineStr">
        <is>
          <t>Discharge at SP ≥ $300-500/MWh
(MCC $130+ at primary node)</t>
        </is>
      </c>
      <c r="J12" s="10" t="inlineStr">
        <is>
          <t>Monitor trend; discharge on confirmed ramp</t>
        </is>
      </c>
      <c r="K12" s="10" t="n"/>
      <c r="L12" s="10" t="n"/>
    </row>
    <row r="13" ht="51.75" customHeight="1" s="111">
      <c r="A13" s="8" t="inlineStr">
        <is>
          <t>MGSES-CATSW 345KV</t>
        </is>
      </c>
      <c r="B13" s="9" t="inlineStr">
        <is>
          <t>🟢 Active</t>
        </is>
      </c>
      <c r="C13" s="11" t="inlineStr">
        <is>
          <t>HE23, HE19, HE20</t>
        </is>
      </c>
      <c r="D13" s="10" t="inlineStr">
        <is>
          <t>Newer congestion (start Nov 2025). Mostly see this congestion with cooler weather in the west creating higher load levels (9gw+) and wind sub 8GW. This ould be the inbalance of demand and wind gen. look into that also maybe coastal wind gen</t>
        </is>
      </c>
      <c r="E13" s="11" t="inlineStr">
        <is>
          <t>Judkins (30.0%)</t>
        </is>
      </c>
      <c r="F13" s="12" t="n">
        <v>0.3</v>
      </c>
      <c r="G13" s="13" t="n">
        <v>150</v>
      </c>
      <c r="H13" s="13" t="n">
        <v>300</v>
      </c>
      <c r="I13" s="10" t="inlineStr">
        <is>
          <t>Discharge at SP ≥ $300-500/MWh
(MCC $150+ at primary node)</t>
        </is>
      </c>
      <c r="J13" s="10" t="inlineStr">
        <is>
          <t>Monitor trend; discharge on confirmed ramp</t>
        </is>
      </c>
      <c r="K13" s="10" t="n"/>
      <c r="L13" s="10" t="n"/>
    </row>
    <row r="14" ht="51.75" customHeight="1" s="111">
      <c r="A14" s="8" t="inlineStr">
        <is>
          <t>LOBO-LARDVNTH 138KV</t>
        </is>
      </c>
      <c r="B14" s="9" t="inlineStr">
        <is>
          <t>🟢 Active</t>
        </is>
      </c>
      <c r="C14" s="11" t="inlineStr">
        <is>
          <t>HE22, HE19, HE21</t>
        </is>
      </c>
      <c r="D14" s="10" t="inlineStr">
        <is>
          <t>Newer Congestion (First seen Feb 2026). Can be seen at all times throughout the day but mostly 17-3. Correlates with 2.5GW+ of south wind or 2.8GW+ of coastal wind. Maybe was also outage driven bc we haven't seen it since march.</t>
        </is>
      </c>
      <c r="E14" s="11" t="inlineStr">
        <is>
          <t>Holcomb (32.4%)</t>
        </is>
      </c>
      <c r="F14" s="12" t="n">
        <v>0.32386</v>
      </c>
      <c r="G14" s="13" t="n">
        <v>161.93</v>
      </c>
      <c r="H14" s="13" t="n">
        <v>323.86</v>
      </c>
      <c r="I14" s="10" t="inlineStr">
        <is>
          <t>Discharge at SP ≥ $300-500/MWh
(MCC $162+ at primary node)</t>
        </is>
      </c>
      <c r="J14" s="10" t="inlineStr">
        <is>
          <t>Monitor trend; discharge on confirmed ramp</t>
        </is>
      </c>
      <c r="K14" s="10" t="n"/>
      <c r="L14" s="10" t="n"/>
    </row>
    <row r="15" ht="51.75" customHeight="1" s="111">
      <c r="A15" s="8" t="inlineStr">
        <is>
          <t>ESCONDID-GANSO 138KV</t>
        </is>
      </c>
      <c r="B15" s="9" t="inlineStr">
        <is>
          <t>🟢 Active</t>
        </is>
      </c>
      <c r="C15" s="11" t="inlineStr">
        <is>
          <t>HE8, HE9, HE1</t>
        </is>
      </c>
      <c r="D15" s="10" t="inlineStr">
        <is>
          <t>HE 10 saw the most shadow pricing but morning all around get best pricing. We see this congestion with low wind generation online, especially the west goin sub 3GW paired with WTX seeing a 9GW+ load</t>
        </is>
      </c>
      <c r="E15" s="11" t="inlineStr">
        <is>
          <t>Hamilton (40.4%)</t>
        </is>
      </c>
      <c r="F15" s="12" t="n">
        <v>0.4035</v>
      </c>
      <c r="G15" s="13" t="n">
        <v>201.75</v>
      </c>
      <c r="H15" s="13" t="n">
        <v>403.5</v>
      </c>
      <c r="I15" s="10" t="inlineStr">
        <is>
          <t>Discharge at SP ≥ $300-500/MWh
(MCC $202+ at primary node)</t>
        </is>
      </c>
      <c r="J15" s="10" t="inlineStr">
        <is>
          <t>Monitor trend; discharge on confirmed ramp</t>
        </is>
      </c>
      <c r="K15" s="10" t="n"/>
      <c r="L15" s="10" t="n"/>
    </row>
    <row r="16" ht="51.75" customHeight="1" s="111">
      <c r="A16" s="8" t="inlineStr">
        <is>
          <t>BCESW-SNDSW 345KV</t>
        </is>
      </c>
      <c r="B16" s="9" t="inlineStr">
        <is>
          <t>🟢 Active</t>
        </is>
      </c>
      <c r="C16" s="11" t="inlineStr">
        <is>
          <t>HE17, HE18, HE16</t>
        </is>
      </c>
      <c r="D16" s="10" t="inlineStr">
        <is>
          <t>Not much activity here during summer and winter. Also see this one when south wind is sub 1GW. Consistent factor also seems to be days of strong south load (15GW+) during the solar window</t>
        </is>
      </c>
      <c r="E16" s="11" t="inlineStr">
        <is>
          <t>Holcomb (11.0%)</t>
        </is>
      </c>
      <c r="F16" s="12" t="n">
        <v>0.11</v>
      </c>
      <c r="G16" s="16" t="n">
        <v>55</v>
      </c>
      <c r="H16" s="13" t="n">
        <v>110</v>
      </c>
      <c r="I16" s="10" t="inlineStr">
        <is>
          <t>Discharge at SP ≥ $500-800/MWh
(MCC $55+ at node)</t>
        </is>
      </c>
      <c r="J16" s="10" t="inlineStr">
        <is>
          <t>Monitor trend; discharge on confirmed ramp</t>
        </is>
      </c>
      <c r="K16" s="10" t="n"/>
      <c r="L16" s="10" t="n"/>
    </row>
    <row r="17" ht="51.75" customHeight="1" s="111">
      <c r="A17" s="8" t="inlineStr">
        <is>
          <t>Legend:</t>
        </is>
      </c>
      <c r="B17" s="9" t="inlineStr">
        <is>
          <t>🟢 Active = detailed MCC analysis completed</t>
        </is>
      </c>
      <c r="C17" s="11" t="n"/>
      <c r="D17" s="10" t="n"/>
      <c r="E17" s="11" t="inlineStr">
        <is>
          <t>—</t>
        </is>
      </c>
      <c r="F17" s="11" t="n"/>
      <c r="G17" s="11" t="n"/>
      <c r="H17" s="11" t="n"/>
      <c r="I17" s="10" t="inlineStr">
        <is>
          <t>Check MCC Calculator</t>
        </is>
      </c>
      <c r="J17" s="10" t="inlineStr">
        <is>
          <t>Monitor trend; discharge on confirmed ramp</t>
        </is>
      </c>
      <c r="K17" s="10" t="n"/>
      <c r="L17" s="10" t="n"/>
    </row>
    <row r="18" ht="21.75" customHeight="1" s="111">
      <c r="A18" s="119" t="inlineStr">
        <is>
          <t>🟡  WATCH LINES — Monitor Closely in Dec – Feb</t>
        </is>
      </c>
    </row>
    <row r="19" ht="51.75" customHeight="1" s="111">
      <c r="A19" s="17" t="inlineStr">
        <is>
          <t>MRVLY-ESTLD 69KV</t>
        </is>
      </c>
      <c r="B19" s="18" t="inlineStr">
        <is>
          <t>🟡 Watch</t>
        </is>
      </c>
      <c r="C19" s="20" t="inlineStr">
        <is>
          <t>HE20, HE19, HE21</t>
        </is>
      </c>
      <c r="D19" s="19" t="inlineStr">
        <is>
          <t>Also seems to be when we see north load reach above 15GW. Especially if it's the load leader by a big chunk on the grid. Look at 01/11 and 01/12</t>
        </is>
      </c>
      <c r="E19" s="20" t="inlineStr">
        <is>
          <t>Cisco (17.3%)</t>
        </is>
      </c>
      <c r="F19" s="21" t="n">
        <v>0.17348</v>
      </c>
      <c r="G19" s="54" t="n">
        <v>86.73999999999999</v>
      </c>
      <c r="H19" s="54" t="n">
        <v>173.48</v>
      </c>
      <c r="I19" s="19" t="inlineStr">
        <is>
          <t>Discharge at SP ≥ $500-800/MWh
(MCC $87+ at node)</t>
        </is>
      </c>
      <c r="J19" s="19" t="inlineStr">
        <is>
          <t>Discharge on sight</t>
        </is>
      </c>
      <c r="K19" s="19" t="n"/>
      <c r="L19" s="19" t="n"/>
    </row>
    <row r="20" ht="51.75" customHeight="1" s="111">
      <c r="A20" s="17" t="inlineStr">
        <is>
          <t>PALOUSE-WOLFCAMP 138KV</t>
        </is>
      </c>
      <c r="B20" s="18" t="inlineStr">
        <is>
          <t>🟡 Watch</t>
        </is>
      </c>
      <c r="C20" s="20" t="inlineStr">
        <is>
          <t>HE18, HE17, HE16</t>
        </is>
      </c>
      <c r="D20" s="19" t="inlineStr">
        <is>
          <t>Strongest pricing seen in the summer (hot). When RT West load gets up to 9GW we will see this, especially when solar is ramping offline.</t>
        </is>
      </c>
      <c r="E20" s="20" t="inlineStr">
        <is>
          <t>Russek (30.6%)</t>
        </is>
      </c>
      <c r="F20" s="21" t="n">
        <v>0.30569</v>
      </c>
      <c r="G20" s="54" t="n">
        <v>152.845</v>
      </c>
      <c r="H20" s="54" t="n">
        <v>305.69</v>
      </c>
      <c r="I20" s="19" t="inlineStr">
        <is>
          <t>Discharge at SP ≥ $300-500/MWh
(MCC $153+ at primary node)</t>
        </is>
      </c>
      <c r="J20" s="19" t="inlineStr">
        <is>
          <t>Discharge on sight</t>
        </is>
      </c>
      <c r="K20" s="19" t="n"/>
      <c r="L20" s="19" t="n"/>
    </row>
    <row r="21" ht="51.75" customHeight="1" s="111">
      <c r="A21" s="17" t="inlineStr">
        <is>
          <t>LPLMK-LPLNE 115KV</t>
        </is>
      </c>
      <c r="B21" s="18" t="inlineStr">
        <is>
          <t>🟡 Watch</t>
        </is>
      </c>
      <c r="C21" s="20" t="inlineStr">
        <is>
          <t>HE21, HE22, HE20</t>
        </is>
      </c>
      <c r="D21" s="19" t="inlineStr">
        <is>
          <t>Don't have very strong shift factors out here in the west but active pretty often when west wind levels go below 5GW but it's actually strong panhandle winds that is the cause.</t>
        </is>
      </c>
      <c r="E21" s="20" t="inlineStr">
        <is>
          <t>Judkins (1.6%)</t>
        </is>
      </c>
      <c r="F21" s="21" t="n">
        <v>0.01594</v>
      </c>
      <c r="G21" s="54" t="n">
        <v>7.97</v>
      </c>
      <c r="H21" s="54" t="n">
        <v>15.94</v>
      </c>
      <c r="I21" s="19" t="inlineStr">
        <is>
          <t>Only strong pricing (SP&gt;$2000) creates meaningful MCC</t>
        </is>
      </c>
      <c r="J21" s="19" t="inlineStr">
        <is>
          <t>Discharge on sight</t>
        </is>
      </c>
      <c r="K21" s="19" t="n"/>
      <c r="L21" s="19" t="n"/>
    </row>
    <row r="22" ht="51.75" customHeight="1" s="111">
      <c r="A22" s="17" t="inlineStr">
        <is>
          <t>HONDOCK-DEVINESW 69KV</t>
        </is>
      </c>
      <c r="B22" s="18" t="inlineStr">
        <is>
          <t>🟡 Watch</t>
        </is>
      </c>
      <c r="C22" s="20" t="inlineStr">
        <is>
          <t>HE16, HE18, HE17</t>
        </is>
      </c>
      <c r="D22" s="19" t="inlineStr">
        <is>
          <t>Newer constraint that showed up in January. Was strongest in march and april. Skip this one too weak of shift factor</t>
        </is>
      </c>
      <c r="E22" s="20" t="inlineStr">
        <is>
          <t>—</t>
        </is>
      </c>
      <c r="F22" s="20" t="n"/>
      <c r="G22" s="20" t="n"/>
      <c r="H22" s="20" t="n"/>
      <c r="I22" s="19" t="inlineStr">
        <is>
          <t>Check MCC Calculator</t>
        </is>
      </c>
      <c r="J22" s="19" t="inlineStr">
        <is>
          <t>Discharge on sight</t>
        </is>
      </c>
      <c r="K22" s="19" t="n"/>
      <c r="L22" s="19" t="n"/>
    </row>
    <row r="23" ht="51.75" customHeight="1" s="111">
      <c r="A23" s="17" t="inlineStr">
        <is>
          <t>I_FW_N</t>
        </is>
      </c>
      <c r="B23" s="18" t="inlineStr">
        <is>
          <t>🟡 Watch</t>
        </is>
      </c>
      <c r="C23" s="20" t="inlineStr">
        <is>
          <t>HE5, HE6, HE4</t>
        </is>
      </c>
      <c r="D23" s="19" t="inlineStr">
        <is>
          <t>Never really see enough shadow pricing to create strong MCC's here. I also don't see one single issue</t>
        </is>
      </c>
      <c r="E23" s="20" t="inlineStr">
        <is>
          <t>Judkins (15.7%)</t>
        </is>
      </c>
      <c r="F23" s="21" t="n">
        <v>0.1566</v>
      </c>
      <c r="G23" s="54" t="n">
        <v>78.3</v>
      </c>
      <c r="H23" s="54" t="n">
        <v>156.6</v>
      </c>
      <c r="I23" s="19" t="inlineStr">
        <is>
          <t>Discharge at SP ≥ $500-800/MWh
(MCC $78+ at node)</t>
        </is>
      </c>
      <c r="J23" s="19" t="inlineStr">
        <is>
          <t>Discharge on sight</t>
        </is>
      </c>
      <c r="K23" s="19" t="n"/>
      <c r="L23" s="19" t="n"/>
    </row>
    <row r="24" ht="51.75" customHeight="1" s="111">
      <c r="A24" s="17" t="inlineStr">
        <is>
          <t>CARVER-TINSLEY 138KV</t>
        </is>
      </c>
      <c r="B24" s="18" t="inlineStr">
        <is>
          <t>🟡 Watch</t>
        </is>
      </c>
      <c r="C24" s="20" t="inlineStr">
        <is>
          <t>HE21, HE20, HE22</t>
        </is>
      </c>
      <c r="D24" s="19" t="inlineStr">
        <is>
          <t>Most shadow pricing seen in HE11 and 12. See this with West wind at 10GW+ coupled with sub 2GW coastal winds</t>
        </is>
      </c>
      <c r="E24" s="20" t="inlineStr">
        <is>
          <t>Hamilton (32.3%)</t>
        </is>
      </c>
      <c r="F24" s="21" t="n">
        <v>0.32323</v>
      </c>
      <c r="G24" s="54" t="n">
        <v>161.615</v>
      </c>
      <c r="H24" s="54" t="n">
        <v>323.23</v>
      </c>
      <c r="I24" s="19" t="inlineStr">
        <is>
          <t>Discharge at SP ≥ $300-500/MWh
(MCC $162+ at primary node)</t>
        </is>
      </c>
      <c r="J24" s="19" t="inlineStr">
        <is>
          <t>Discharge on sight</t>
        </is>
      </c>
      <c r="K24" s="19" t="n"/>
      <c r="L24" s="19" t="n"/>
    </row>
    <row r="25" ht="51.75" customHeight="1" s="111">
      <c r="A25" s="17" t="inlineStr">
        <is>
          <t>MASN-KATEMCY 69KV</t>
        </is>
      </c>
      <c r="B25" s="18" t="inlineStr">
        <is>
          <t>🟡 Watch</t>
        </is>
      </c>
      <c r="C25" s="20" t="inlineStr">
        <is>
          <t>HE19, HE18, HE23</t>
        </is>
      </c>
      <c r="D25" s="19" t="inlineStr">
        <is>
          <t>Affiliated with low west wind and low north wind gen</t>
        </is>
      </c>
      <c r="E25" s="20" t="inlineStr">
        <is>
          <t>Junction (25.1%)</t>
        </is>
      </c>
      <c r="F25" s="21" t="n">
        <v>0.251</v>
      </c>
      <c r="G25" s="54" t="n">
        <v>125.5</v>
      </c>
      <c r="H25" s="54" t="n">
        <v>251</v>
      </c>
      <c r="I25" s="19" t="inlineStr">
        <is>
          <t>Discharge at SP ≥ $300-500/MWh
(MCC $126+ at primary node)</t>
        </is>
      </c>
      <c r="J25" s="19" t="inlineStr">
        <is>
          <t>Discharge on sight</t>
        </is>
      </c>
      <c r="K25" s="19" t="n"/>
      <c r="L25" s="19" t="n"/>
    </row>
    <row r="26" ht="51.75" customHeight="1" s="111">
      <c r="A26" s="17" t="inlineStr">
        <is>
          <t>SAMSW-VENSW 345KV</t>
        </is>
      </c>
      <c r="B26" s="18" t="inlineStr">
        <is>
          <t>🟡 Watch</t>
        </is>
      </c>
      <c r="C26" s="20" t="inlineStr">
        <is>
          <t>HE11, HE12, HE13</t>
        </is>
      </c>
      <c r="D26" s="19" t="inlineStr">
        <is>
          <t>This was strongest in December and Jan, seen in May too. Think its around all seasons. Really no idea what the cause is, look into more,</t>
        </is>
      </c>
      <c r="E26" s="20" t="inlineStr">
        <is>
          <t>Diboll (5.3%)</t>
        </is>
      </c>
      <c r="F26" s="21" t="n">
        <v>0.053</v>
      </c>
      <c r="G26" s="54" t="n">
        <v>26.5</v>
      </c>
      <c r="H26" s="54" t="n">
        <v>53</v>
      </c>
      <c r="I26" s="19" t="inlineStr">
        <is>
          <t>Discharge at SP ≥ $1000+/MWh
(Need strong pricing for good MCC)</t>
        </is>
      </c>
      <c r="J26" s="19" t="inlineStr">
        <is>
          <t>Discharge on sight</t>
        </is>
      </c>
      <c r="K26" s="19" t="n"/>
      <c r="L26" s="19" t="n"/>
    </row>
    <row r="27" ht="51.75" customHeight="1" s="111">
      <c r="A27" s="17" t="inlineStr">
        <is>
          <t>MADDUX-TREADWEL 138KV</t>
        </is>
      </c>
      <c r="B27" s="18" t="inlineStr">
        <is>
          <t>🟡 Watch</t>
        </is>
      </c>
      <c r="C27" s="20" t="inlineStr">
        <is>
          <t>HE17, HE18, HE16</t>
        </is>
      </c>
      <c r="D27" s="19" t="inlineStr">
        <is>
          <t>Haven't seen much post RTC+B should be interesting to look out for. Can't find much of a driver here.</t>
        </is>
      </c>
      <c r="E27" s="20" t="inlineStr">
        <is>
          <t>Junction (39.3%)</t>
        </is>
      </c>
      <c r="F27" s="21" t="n">
        <v>0.39252</v>
      </c>
      <c r="G27" s="54" t="n">
        <v>196.26</v>
      </c>
      <c r="H27" s="54" t="n">
        <v>392.52</v>
      </c>
      <c r="I27" s="19" t="inlineStr">
        <is>
          <t>Discharge at SP ≥ $300-500/MWh
(MCC $196+ at primary node)</t>
        </is>
      </c>
      <c r="J27" s="19" t="inlineStr">
        <is>
          <t>Discharge on sight</t>
        </is>
      </c>
      <c r="K27" s="19" t="n"/>
      <c r="L27" s="19" t="n"/>
    </row>
    <row r="28" ht="51.75" customHeight="1" s="111">
      <c r="A28" s="17" t="inlineStr">
        <is>
          <t>PRLSW-CONSW 345KV</t>
        </is>
      </c>
      <c r="B28" s="18" t="inlineStr">
        <is>
          <t>🟡 Watch</t>
        </is>
      </c>
      <c r="C28" s="20" t="inlineStr">
        <is>
          <t>HE2, HE4, HE1</t>
        </is>
      </c>
      <c r="D28" s="19" t="inlineStr">
        <is>
          <t>Believe we see this congestion with more mild temps, lower loads, and over 8GW+ of west wind generation</t>
        </is>
      </c>
      <c r="E28" s="20" t="inlineStr">
        <is>
          <t>Judkins (29.0%)</t>
        </is>
      </c>
      <c r="F28" s="21" t="n">
        <v>0.29043</v>
      </c>
      <c r="G28" s="54" t="n">
        <v>145.215</v>
      </c>
      <c r="H28" s="54" t="n">
        <v>290.43</v>
      </c>
      <c r="I28" s="19" t="inlineStr">
        <is>
          <t>Discharge at SP ≥ $300-500/MWh
(MCC $145+ at primary node)</t>
        </is>
      </c>
      <c r="J28" s="19" t="inlineStr">
        <is>
          <t>Discharge on sight</t>
        </is>
      </c>
      <c r="K28" s="19" t="n"/>
      <c r="L28" s="19" t="n"/>
    </row>
    <row r="29" ht="51.75" customHeight="1" s="111">
      <c r="A29" s="17" t="inlineStr">
        <is>
          <t>MAXWELL-HAMILTON 138KV</t>
        </is>
      </c>
      <c r="B29" s="18" t="inlineStr">
        <is>
          <t>🟡 Watch</t>
        </is>
      </c>
      <c r="C29" s="20" t="inlineStr">
        <is>
          <t>HE2, HE24, HE1</t>
        </is>
      </c>
      <c r="D29" s="19" t="inlineStr">
        <is>
          <t>Will be interesting to see if this still plays in Post RTC + B. Associated with 13+GW of west wind generation.</t>
        </is>
      </c>
      <c r="E29" s="20" t="inlineStr">
        <is>
          <t>Hamilton (23.0%)</t>
        </is>
      </c>
      <c r="F29" s="21" t="n">
        <v>0.22977</v>
      </c>
      <c r="G29" s="54" t="n">
        <v>114.885</v>
      </c>
      <c r="H29" s="54" t="n">
        <v>229.77</v>
      </c>
      <c r="I29" s="19" t="inlineStr">
        <is>
          <t>Discharge at SP ≥ $300-500/MWh
(MCC $115+ at primary node)</t>
        </is>
      </c>
      <c r="J29" s="19" t="inlineStr">
        <is>
          <t>Discharge on sight</t>
        </is>
      </c>
      <c r="K29" s="19" t="n"/>
      <c r="L29" s="19" t="n"/>
    </row>
    <row r="30" ht="51.75" customHeight="1" s="111">
      <c r="A30" s="17" t="inlineStr">
        <is>
          <t>SONR-ATSO 69KV</t>
        </is>
      </c>
      <c r="B30" s="18" t="inlineStr">
        <is>
          <t>🟡 Watch</t>
        </is>
      </c>
      <c r="C30" s="20" t="inlineStr">
        <is>
          <t>HE1, HE3, HE2</t>
        </is>
      </c>
      <c r="D30" s="19" t="inlineStr">
        <is>
          <t>Don't really know what the driver is here. It could be west load surpassing 9GW+ overnight but not sure how common that is. The west wind levels are not very reliable but could be attributed with Low west winds OR high west winds</t>
        </is>
      </c>
      <c r="E30" s="20" t="inlineStr">
        <is>
          <t>Russek (5.0%)</t>
        </is>
      </c>
      <c r="F30" s="21" t="n">
        <v>0.05</v>
      </c>
      <c r="G30" s="54" t="n">
        <v>25</v>
      </c>
      <c r="H30" s="54" t="n">
        <v>50</v>
      </c>
      <c r="I30" s="19" t="inlineStr">
        <is>
          <t>Discharge at SP ≥ $1000+/MWh
(Need strong pricing for good MCC)</t>
        </is>
      </c>
      <c r="J30" s="19" t="inlineStr">
        <is>
          <t>Discharge on sight</t>
        </is>
      </c>
      <c r="K30" s="19" t="n"/>
      <c r="L30" s="19" t="n"/>
    </row>
    <row r="31" ht="51.75" customHeight="1" s="111">
      <c r="A31" s="17" t="inlineStr">
        <is>
          <t>BRUNI 138KV</t>
        </is>
      </c>
      <c r="B31" s="18" t="inlineStr">
        <is>
          <t>🟡 Watch</t>
        </is>
      </c>
      <c r="C31" s="20" t="inlineStr">
        <is>
          <t>HE23, HE22, HE21</t>
        </is>
      </c>
      <c r="D31" s="19" t="inlineStr">
        <is>
          <t>Our shift factors are only like 1% so can't really include this one. Maybe associated with 1.5GW+ of south wind gen</t>
        </is>
      </c>
      <c r="E31" s="20" t="inlineStr">
        <is>
          <t>Catarina (1.0%)</t>
        </is>
      </c>
      <c r="F31" s="21" t="n">
        <v>0.01044</v>
      </c>
      <c r="G31" s="54" t="n">
        <v>5.22</v>
      </c>
      <c r="H31" s="54" t="n">
        <v>10.44</v>
      </c>
      <c r="I31" s="19" t="inlineStr">
        <is>
          <t>Only strong pricing (SP&gt;$2000) creates meaningful MCC</t>
        </is>
      </c>
      <c r="J31" s="19" t="inlineStr">
        <is>
          <t>Discharge on sight</t>
        </is>
      </c>
      <c r="K31" s="19" t="n"/>
      <c r="L31" s="19" t="n"/>
    </row>
    <row r="32" ht="51.75" customHeight="1" s="111">
      <c r="A32" s="17" t="inlineStr">
        <is>
          <t>CRTRVLLE-HILGR 138KV</t>
        </is>
      </c>
      <c r="B32" s="18" t="inlineStr">
        <is>
          <t>🟡 Watch</t>
        </is>
      </c>
      <c r="C32" s="20" t="inlineStr">
        <is>
          <t>HE1, HE2, HE23</t>
        </is>
      </c>
      <c r="D32" s="19" t="inlineStr">
        <is>
          <t>Never rlly seen MCC's over $50 for our west sites so not much to report on here. Driver here is 10GW+ of west wind gen</t>
        </is>
      </c>
      <c r="E32" s="20" t="inlineStr">
        <is>
          <t>Judkins (4.0%)</t>
        </is>
      </c>
      <c r="F32" s="21" t="n">
        <v>0.04</v>
      </c>
      <c r="G32" s="54" t="n">
        <v>20</v>
      </c>
      <c r="H32" s="54" t="n">
        <v>40</v>
      </c>
      <c r="I32" s="19" t="inlineStr">
        <is>
          <t>Only strong pricing (SP&gt;$2000) creates meaningful MCC</t>
        </is>
      </c>
      <c r="J32" s="19" t="inlineStr">
        <is>
          <t>Discharge on sight</t>
        </is>
      </c>
      <c r="K32" s="19" t="n"/>
      <c r="L32" s="19" t="n"/>
    </row>
    <row r="33" ht="51.75" customHeight="1" s="111">
      <c r="A33" s="17" t="inlineStr">
        <is>
          <t>ARGYL-LWSVH 138KV</t>
        </is>
      </c>
      <c r="B33" s="18" t="inlineStr">
        <is>
          <t>🟡 Watch</t>
        </is>
      </c>
      <c r="C33" s="20" t="inlineStr">
        <is>
          <t>HE1, HE2, HE24</t>
        </is>
      </c>
      <c r="D33" s="19" t="inlineStr">
        <is>
          <t>Mostly seen in all hour during the winter season. See it when wind patterns reach above 12GW. I would look into this one some more.</t>
        </is>
      </c>
      <c r="E33" s="20" t="inlineStr">
        <is>
          <t>Diboll (1.5%)</t>
        </is>
      </c>
      <c r="F33" s="21" t="n">
        <v>0.01469</v>
      </c>
      <c r="G33" s="54" t="n">
        <v>7.345</v>
      </c>
      <c r="H33" s="54" t="n">
        <v>14.69</v>
      </c>
      <c r="I33" s="19" t="inlineStr">
        <is>
          <t>Only strong pricing (SP&gt;$2000) creates meaningful MCC</t>
        </is>
      </c>
      <c r="J33" s="19" t="inlineStr">
        <is>
          <t>Discharge on sight</t>
        </is>
      </c>
      <c r="K33" s="19" t="n"/>
      <c r="L33" s="19" t="n"/>
    </row>
    <row r="34" ht="51.75" customHeight="1" s="111">
      <c r="A34" s="17" t="inlineStr">
        <is>
          <t>PILONCIL-NLARSW 138KV</t>
        </is>
      </c>
      <c r="B34" s="18" t="inlineStr">
        <is>
          <t>🟡 Watch</t>
        </is>
      </c>
      <c r="C34" s="20" t="inlineStr">
        <is>
          <t>HE16, HE15, HE17</t>
        </is>
      </c>
      <c r="D34" s="19" t="inlineStr">
        <is>
          <t>see this with really low coastal and south winds. Like sub 1GW for each.</t>
        </is>
      </c>
      <c r="E34" s="20" t="inlineStr">
        <is>
          <t>Holcomb (23.8%)</t>
        </is>
      </c>
      <c r="F34" s="21" t="n">
        <v>0.23807</v>
      </c>
      <c r="G34" s="54" t="n">
        <v>119.035</v>
      </c>
      <c r="H34" s="54" t="n">
        <v>238.07</v>
      </c>
      <c r="I34" s="19" t="inlineStr">
        <is>
          <t>Discharge at SP ≥ $300-500/MWh
(MCC $119+ at primary node)</t>
        </is>
      </c>
      <c r="J34" s="19" t="inlineStr">
        <is>
          <t>Discharge on sight</t>
        </is>
      </c>
      <c r="K34" s="19" t="n"/>
      <c r="L34" s="19" t="n"/>
    </row>
    <row r="35" ht="51.75" customHeight="1" s="111">
      <c r="A35" s="17" t="inlineStr">
        <is>
          <t>MCCAMY</t>
        </is>
      </c>
      <c r="B35" s="18" t="inlineStr">
        <is>
          <t>🟡 Watch</t>
        </is>
      </c>
      <c r="C35" s="20" t="inlineStr">
        <is>
          <t>HE13, HE12, HE14</t>
        </is>
      </c>
      <c r="D35" s="19" t="inlineStr">
        <is>
          <t>Delete, don’t see any shadow pricing</t>
        </is>
      </c>
      <c r="E35" s="20" t="inlineStr">
        <is>
          <t>—</t>
        </is>
      </c>
      <c r="F35" s="20" t="n"/>
      <c r="G35" s="20" t="n"/>
      <c r="H35" s="20" t="n"/>
      <c r="I35" s="19" t="inlineStr">
        <is>
          <t>Check MCC Calculator</t>
        </is>
      </c>
      <c r="J35" s="19" t="inlineStr">
        <is>
          <t>Discharge on sight</t>
        </is>
      </c>
      <c r="K35" s="19" t="n"/>
      <c r="L35" s="19" t="n"/>
    </row>
    <row r="36" ht="51.75" customHeight="1" s="111">
      <c r="A36" s="17" t="inlineStr">
        <is>
          <t>CMNSW-CMNTP 138KV</t>
        </is>
      </c>
      <c r="B36" s="18" t="inlineStr">
        <is>
          <t>🟡 Watch</t>
        </is>
      </c>
      <c r="C36" s="20" t="inlineStr">
        <is>
          <t>HE17, HE19, HE18</t>
        </is>
      </c>
      <c r="D36" s="19" t="inlineStr">
        <is>
          <t>Get this congestion when coastal winds surpass 2.7GW+ of coastal gen. When system wide wind gen reaches to 20GW+ is where we get the best shadow pricing. Don't get much pricing from here though with low shift factors</t>
        </is>
      </c>
      <c r="E36" s="20" t="inlineStr">
        <is>
          <t>Cisco (5.0%)</t>
        </is>
      </c>
      <c r="F36" s="21" t="n">
        <v>0.05</v>
      </c>
      <c r="G36" s="54" t="n">
        <v>25</v>
      </c>
      <c r="H36" s="54" t="n">
        <v>50</v>
      </c>
      <c r="I36" s="19" t="inlineStr">
        <is>
          <t>Discharge at SP ≥ $1000+/MWh
(Need strong pricing for good MCC)</t>
        </is>
      </c>
      <c r="J36" s="19" t="inlineStr">
        <is>
          <t>Discharge on sight</t>
        </is>
      </c>
      <c r="K36" s="19" t="n"/>
      <c r="L36" s="19" t="n"/>
    </row>
    <row r="37" ht="51.75" customHeight="1" s="111">
      <c r="A37" s="17" t="inlineStr">
        <is>
          <t>WOLFCAMP-SANTARIT 138KV</t>
        </is>
      </c>
      <c r="B37" s="18" t="inlineStr">
        <is>
          <t>🟡 Watch</t>
        </is>
      </c>
      <c r="C37" s="20" t="inlineStr">
        <is>
          <t>HE17, HE16, HE19</t>
        </is>
      </c>
      <c r="D37" s="19" t="inlineStr">
        <is>
          <t>No specific driver I can find here. Russek has a 32% shift factor here. High temps also tend to flair up this line. Only saw for 2 days in April</t>
        </is>
      </c>
      <c r="E37" s="20" t="inlineStr">
        <is>
          <t>Russek (31.7%)</t>
        </is>
      </c>
      <c r="F37" s="21" t="n">
        <v>0.31739</v>
      </c>
      <c r="G37" s="54" t="n">
        <v>158.695</v>
      </c>
      <c r="H37" s="54" t="n">
        <v>317.39</v>
      </c>
      <c r="I37" s="19" t="inlineStr">
        <is>
          <t>Discharge at SP ≥ $300-500/MWh
(MCC $159+ at primary node)</t>
        </is>
      </c>
      <c r="J37" s="19" t="inlineStr">
        <is>
          <t>Discharge on sight</t>
        </is>
      </c>
      <c r="K37" s="19" t="n"/>
      <c r="L37" s="19" t="n"/>
    </row>
    <row r="38" ht="51.75" customHeight="1" s="111">
      <c r="A38" s="17" t="inlineStr">
        <is>
          <t>LHSES-PRCSW 138KV</t>
        </is>
      </c>
      <c r="B38" s="18" t="inlineStr">
        <is>
          <t>🟡 Watch</t>
        </is>
      </c>
      <c r="C38" s="20" t="inlineStr">
        <is>
          <t>HE20, HE19, HE17</t>
        </is>
      </c>
      <c r="D38" s="19" t="inlineStr">
        <is>
          <t>Skip this one. Only -5% shift factor here at North sites</t>
        </is>
      </c>
      <c r="E38" s="20" t="inlineStr">
        <is>
          <t>—</t>
        </is>
      </c>
      <c r="F38" s="20" t="n"/>
      <c r="G38" s="20" t="n"/>
      <c r="H38" s="20" t="n"/>
      <c r="I38" s="19" t="inlineStr">
        <is>
          <t>Check MCC Calculator</t>
        </is>
      </c>
      <c r="J38" s="19" t="inlineStr">
        <is>
          <t>Discharge on sight</t>
        </is>
      </c>
      <c r="K38" s="19" t="n"/>
      <c r="L38" s="19" t="n"/>
    </row>
    <row r="39" ht="51.75" customHeight="1" s="111">
      <c r="A39" s="17" t="inlineStr">
        <is>
          <t>FMRVL-RYSSW 345KV</t>
        </is>
      </c>
      <c r="B39" s="18" t="inlineStr">
        <is>
          <t>🟡 Watch</t>
        </is>
      </c>
      <c r="C39" s="20" t="inlineStr">
        <is>
          <t>HE17, HE16, HE15</t>
        </is>
      </c>
      <c r="D39" s="19" t="inlineStr">
        <is>
          <t>Dibol only has a 6% shift factor here but seen shadow pricing in the thousands. Only saw decent shadow pricing for one day. Delete</t>
        </is>
      </c>
      <c r="E39" s="20" t="inlineStr">
        <is>
          <t>Diboll (5.2%)</t>
        </is>
      </c>
      <c r="F39" s="21" t="n">
        <v>0.05227</v>
      </c>
      <c r="G39" s="54" t="n">
        <v>26.135</v>
      </c>
      <c r="H39" s="54" t="n">
        <v>52.27</v>
      </c>
      <c r="I39" s="19" t="inlineStr">
        <is>
          <t>Discharge at SP ≥ $1000+/MWh
(Need strong pricing for good MCC)</t>
        </is>
      </c>
      <c r="J39" s="19" t="inlineStr">
        <is>
          <t>Discharge on sight</t>
        </is>
      </c>
      <c r="K39" s="19" t="n"/>
      <c r="L39" s="19" t="n"/>
    </row>
  </sheetData>
  <mergeCells count="4">
    <mergeCell ref="A18:L18"/>
    <mergeCell ref="A2:N2"/>
    <mergeCell ref="A4:L4"/>
    <mergeCell ref="A1:N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2E7D32"/>
    <outlinePr summaryBelow="1" summaryRight="1"/>
    <pageSetUpPr/>
  </sheetPr>
  <dimension ref="A1:N45"/>
  <sheetViews>
    <sheetView zoomScaleNormal="100" workbookViewId="0">
      <pane xSplit="1" ySplit="3" topLeftCell="B4" activePane="bottomRight" state="frozen"/>
      <selection pane="topRight" activeCell="B1" sqref="B1"/>
      <selection pane="bottomLeft" activeCell="A4" sqref="A4"/>
      <selection pane="bottomRight" activeCell="A1" sqref="A1:N1"/>
    </sheetView>
  </sheetViews>
  <sheetFormatPr baseColWidth="8" defaultColWidth="8.7109375" defaultRowHeight="15"/>
  <cols>
    <col width="28" customWidth="1" style="111" min="1" max="1"/>
    <col width="10" customWidth="1" style="111" min="2" max="2"/>
    <col width="13" customWidth="1" style="111" min="3" max="3"/>
    <col width="40" customWidth="1" style="111" min="4" max="4"/>
    <col width="13" customWidth="1" style="111" min="5" max="5"/>
    <col width="9" customWidth="1" style="111" min="6" max="6"/>
    <col width="11" customWidth="1" style="111" min="7" max="8"/>
    <col width="28" customWidth="1" style="111" min="9" max="9"/>
    <col width="20" customWidth="1" style="111" min="10" max="10"/>
    <col width="22" customWidth="1" style="111" min="11" max="11"/>
    <col width="32" customWidth="1" style="111" min="12" max="12"/>
  </cols>
  <sheetData>
    <row r="1" ht="30" customHeight="1" s="111">
      <c r="A1" s="112" t="inlineStr">
        <is>
          <t>SPRING CONGESTION PLAYBOOK  |  Mar – May</t>
        </is>
      </c>
    </row>
    <row r="2" ht="24" customHeight="1" s="111">
      <c r="A2" s="124" t="inlineStr">
        <is>
          <t>Shoulder season. High system-wide wind events. Coastal &amp; south wind ramps.</t>
        </is>
      </c>
    </row>
    <row r="3" ht="36" customHeight="1" s="111">
      <c r="A3" s="7" t="inlineStr">
        <is>
          <t>Line / Constraint</t>
        </is>
      </c>
      <c r="B3" s="7" t="inlineStr">
        <is>
          <t>Priority</t>
        </is>
      </c>
      <c r="C3" s="7" t="inlineStr">
        <is>
          <t>Peak HE
(Best Hours)</t>
        </is>
      </c>
      <c r="D3" s="7" t="inlineStr">
        <is>
          <t>Driver / Trigger</t>
        </is>
      </c>
      <c r="E3" s="7" t="inlineStr">
        <is>
          <t>Primary Node</t>
        </is>
      </c>
      <c r="F3" s="7" t="inlineStr">
        <is>
          <t>SF (%)</t>
        </is>
      </c>
      <c r="G3" s="7" t="inlineStr">
        <is>
          <t>MCC @
$500 SP</t>
        </is>
      </c>
      <c r="H3" s="7" t="inlineStr">
        <is>
          <t>MCC @
$1000 SP</t>
        </is>
      </c>
      <c r="I3" s="7" t="inlineStr">
        <is>
          <t>Discharge
Guidance</t>
        </is>
      </c>
      <c r="J3" s="7" t="inlineStr">
        <is>
          <t>Hold
Strategy?</t>
        </is>
      </c>
      <c r="K3" s="7" t="inlineStr">
        <is>
          <t>Key Gen Level
Threshold</t>
        </is>
      </c>
      <c r="L3" s="7" t="inlineStr">
        <is>
          <t>Operator
Notes</t>
        </is>
      </c>
    </row>
    <row r="4" ht="21.75" customHeight="1" s="111">
      <c r="A4" s="121" t="inlineStr">
        <is>
          <t>🟢  ACTIVE LINES — Priority Targets for Mar – May</t>
        </is>
      </c>
    </row>
    <row r="5" ht="51.75" customHeight="1" s="111">
      <c r="A5" s="8" t="inlineStr">
        <is>
          <t>FORTMA-YELWJCKT 138KV</t>
        </is>
      </c>
      <c r="B5" s="9" t="inlineStr">
        <is>
          <t>🟢 Active</t>
        </is>
      </c>
      <c r="C5" s="11" t="inlineStr">
        <is>
          <t>HE21, HE20, HE23</t>
        </is>
      </c>
      <c r="D5" s="10" t="inlineStr">
        <is>
          <t>Mostly seen overnight. Correlated when west dips below coastal wind generation. West wind gen generally has to be below 3GW</t>
        </is>
      </c>
      <c r="E5" s="11" t="inlineStr">
        <is>
          <t>Junction (50.0%)</t>
        </is>
      </c>
      <c r="F5" s="12" t="n">
        <v>0.5</v>
      </c>
      <c r="G5" s="13" t="n">
        <v>250</v>
      </c>
      <c r="H5" s="13" t="n">
        <v>500</v>
      </c>
      <c r="I5" s="10" t="inlineStr">
        <is>
          <t>Discharge at SP ≥ $300-500/MWh
(MCC $250+ at primary node)</t>
        </is>
      </c>
      <c r="J5" s="10" t="inlineStr">
        <is>
          <t>Monitor trend; discharge on confirmed ramp</t>
        </is>
      </c>
      <c r="K5" s="10" t="n"/>
      <c r="L5" s="10" t="n"/>
    </row>
    <row r="6" ht="51.75" customHeight="1" s="111">
      <c r="A6" s="8" t="inlineStr">
        <is>
          <t>WESTEX</t>
        </is>
      </c>
      <c r="B6" s="9" t="inlineStr">
        <is>
          <t>🟢 Active</t>
        </is>
      </c>
      <c r="C6" s="11" t="inlineStr">
        <is>
          <t>HE20, HE19, HE12</t>
        </is>
      </c>
      <c r="D6" s="10" t="inlineStr">
        <is>
          <t>See flare up in days of high renewable generation. Seen in all hours of the day but most common during solar ramps or when west Gen reaches above 15GW overnight.</t>
        </is>
      </c>
      <c r="E6" s="11" t="inlineStr">
        <is>
          <t>Diboll (19.4%)</t>
        </is>
      </c>
      <c r="F6" s="12" t="n">
        <v>0.19396</v>
      </c>
      <c r="G6" s="16" t="n">
        <v>96.98</v>
      </c>
      <c r="H6" s="13" t="n">
        <v>193.96</v>
      </c>
      <c r="I6" s="10" t="inlineStr">
        <is>
          <t>Discharge at SP ≥ $500-800/MWh
(MCC $97+ at node)</t>
        </is>
      </c>
      <c r="J6" s="10" t="inlineStr">
        <is>
          <t>Monitor trend; discharge on confirmed ramp</t>
        </is>
      </c>
      <c r="K6" s="10" t="n"/>
      <c r="L6" s="10" t="n"/>
    </row>
    <row r="7" ht="51.75" customHeight="1" s="111">
      <c r="A7" s="8" t="inlineStr">
        <is>
          <t>LNGSW-PRLSW 345KV</t>
        </is>
      </c>
      <c r="B7" s="9" t="inlineStr">
        <is>
          <t>🟢 Active</t>
        </is>
      </c>
      <c r="C7" s="11" t="inlineStr">
        <is>
          <t>HE1, HE2, HE24</t>
        </is>
      </c>
      <c r="D7" s="10" t="inlineStr">
        <is>
          <t>This congestion is seem mostly overnight. Main driver on this line is when we see west wind gen reach above 10GW.</t>
        </is>
      </c>
      <c r="E7" s="11" t="inlineStr">
        <is>
          <t>Judkins (21.3%)</t>
        </is>
      </c>
      <c r="F7" s="12" t="n">
        <v>0.21329</v>
      </c>
      <c r="G7" s="13" t="n">
        <v>106.645</v>
      </c>
      <c r="H7" s="13" t="n">
        <v>213.29</v>
      </c>
      <c r="I7" s="10" t="inlineStr">
        <is>
          <t>Discharge at SP ≥ $300-500/MWh
(MCC $107+ at primary node)</t>
        </is>
      </c>
      <c r="J7" s="10" t="inlineStr">
        <is>
          <t>Monitor trend; discharge on confirmed ramp</t>
        </is>
      </c>
      <c r="K7" s="10" t="n"/>
      <c r="L7" s="10" t="n"/>
    </row>
    <row r="8" ht="51.75" customHeight="1" s="111">
      <c r="A8" s="8" t="inlineStr">
        <is>
          <t>E_PASP</t>
        </is>
      </c>
      <c r="B8" s="9" t="inlineStr">
        <is>
          <t>🟢 Active</t>
        </is>
      </c>
      <c r="C8" s="11" t="inlineStr">
        <is>
          <t>HE20, HE19, HE18</t>
        </is>
      </c>
      <c r="D8" s="10" t="inlineStr">
        <is>
          <t>This sends Val Verde negative. Strongest during down ramps best theory for congestion here is when south load reaches 18GW+.</t>
        </is>
      </c>
      <c r="E8" s="11" t="inlineStr">
        <is>
          <t>Junction (4.0%)</t>
        </is>
      </c>
      <c r="F8" s="12" t="n">
        <v>0.04</v>
      </c>
      <c r="G8" s="15" t="n">
        <v>20</v>
      </c>
      <c r="H8" s="15" t="n">
        <v>40</v>
      </c>
      <c r="I8" s="10" t="inlineStr">
        <is>
          <t>Only strong pricing (SP&gt;$2000) creates meaningful MCC</t>
        </is>
      </c>
      <c r="J8" s="10" t="inlineStr">
        <is>
          <t>Monitor trend; discharge on confirmed ramp</t>
        </is>
      </c>
      <c r="K8" s="10" t="n"/>
      <c r="L8" s="10" t="n"/>
    </row>
    <row r="9" ht="51.75" customHeight="1" s="111">
      <c r="A9" s="8" t="inlineStr">
        <is>
          <t>NLARSW-PILONCIL 138KV</t>
        </is>
      </c>
      <c r="B9" s="9" t="inlineStr">
        <is>
          <t>🟢 Active</t>
        </is>
      </c>
      <c r="C9" s="11" t="inlineStr">
        <is>
          <t>HE24, HE1, HE2</t>
        </is>
      </c>
      <c r="D9" s="10" t="inlineStr">
        <is>
          <t>This is a newer congestion… started in Nov 2025. see this congestion with coastal wind gen at 2.5GW+. Same with south wind</t>
        </is>
      </c>
      <c r="E9" s="11" t="inlineStr">
        <is>
          <t>Catarina (26.0%)</t>
        </is>
      </c>
      <c r="F9" s="12" t="n">
        <v>0.26</v>
      </c>
      <c r="G9" s="13" t="n">
        <v>130</v>
      </c>
      <c r="H9" s="13" t="n">
        <v>260</v>
      </c>
      <c r="I9" s="10" t="inlineStr">
        <is>
          <t>Discharge at SP ≥ $300-500/MWh
(MCC $130+ at primary node)</t>
        </is>
      </c>
      <c r="J9" s="10" t="inlineStr">
        <is>
          <t>Monitor trend; discharge on confirmed ramp</t>
        </is>
      </c>
      <c r="K9" s="10" t="n"/>
      <c r="L9" s="10" t="n"/>
    </row>
    <row r="10" ht="51.75" customHeight="1" s="111">
      <c r="A10" s="8" t="inlineStr">
        <is>
          <t>MGSES-CATSW 345KV</t>
        </is>
      </c>
      <c r="B10" s="9" t="inlineStr">
        <is>
          <t>🟢 Active</t>
        </is>
      </c>
      <c r="C10" s="11" t="inlineStr">
        <is>
          <t>HE23, HE19, HE20</t>
        </is>
      </c>
      <c r="D10" s="10" t="inlineStr">
        <is>
          <t>Newer congestion (start Nov 2025). Mostly see this congestion with cooler weather in the west creating higher load levels (9gw+) and wind sub 8GW. This ould be the inbalance of demand and wind gen. look into that also maybe coastal wind gen</t>
        </is>
      </c>
      <c r="E10" s="11" t="inlineStr">
        <is>
          <t>Judkins (30.0%)</t>
        </is>
      </c>
      <c r="F10" s="12" t="n">
        <v>0.3</v>
      </c>
      <c r="G10" s="13" t="n">
        <v>150</v>
      </c>
      <c r="H10" s="13" t="n">
        <v>300</v>
      </c>
      <c r="I10" s="10" t="inlineStr">
        <is>
          <t>Discharge at SP ≥ $300-500/MWh
(MCC $150+ at primary node)</t>
        </is>
      </c>
      <c r="J10" s="10" t="inlineStr">
        <is>
          <t>Monitor trend; discharge on confirmed ramp</t>
        </is>
      </c>
      <c r="K10" s="10" t="n"/>
      <c r="L10" s="10" t="n"/>
    </row>
    <row r="11" ht="51.75" customHeight="1" s="111">
      <c r="A11" s="8" t="inlineStr">
        <is>
          <t>LOBO-LARDVNTH 138KV</t>
        </is>
      </c>
      <c r="B11" s="9" t="inlineStr">
        <is>
          <t>🟢 Active</t>
        </is>
      </c>
      <c r="C11" s="11" t="inlineStr">
        <is>
          <t>HE22, HE19, HE21</t>
        </is>
      </c>
      <c r="D11" s="10" t="inlineStr">
        <is>
          <t>Newer Congestion (First seen Feb 2026). Can be seen at all times throughout the day but mostly 17-3. Correlates with 2.5GW+ of south wind or 2.8GW+ of coastal wind. Maybe was also outage driven bc we haven't seen it since march.</t>
        </is>
      </c>
      <c r="E11" s="11" t="inlineStr">
        <is>
          <t>Holcomb (32.4%)</t>
        </is>
      </c>
      <c r="F11" s="12" t="n">
        <v>0.32386</v>
      </c>
      <c r="G11" s="13" t="n">
        <v>161.93</v>
      </c>
      <c r="H11" s="13" t="n">
        <v>323.86</v>
      </c>
      <c r="I11" s="10" t="inlineStr">
        <is>
          <t>Discharge at SP ≥ $300-500/MWh
(MCC $162+ at primary node)</t>
        </is>
      </c>
      <c r="J11" s="10" t="inlineStr">
        <is>
          <t>Monitor trend; discharge on confirmed ramp</t>
        </is>
      </c>
      <c r="K11" s="10" t="n"/>
      <c r="L11" s="10" t="n"/>
    </row>
    <row r="12" ht="51.75" customHeight="1" s="111">
      <c r="A12" s="8" t="inlineStr">
        <is>
          <t>ESCONDID-GANSO 138KV</t>
        </is>
      </c>
      <c r="B12" s="9" t="inlineStr">
        <is>
          <t>🟢 Active</t>
        </is>
      </c>
      <c r="C12" s="11" t="inlineStr">
        <is>
          <t>HE8, HE9, HE1</t>
        </is>
      </c>
      <c r="D12" s="10" t="inlineStr">
        <is>
          <t>HE 10 saw the most shadow pricing but morning all around get best pricing. We see this congestion with low wind generation online, especially the west goin sub 3GW paired with WTX seeing a 9GW+ load</t>
        </is>
      </c>
      <c r="E12" s="11" t="inlineStr">
        <is>
          <t>Hamilton (40.4%)</t>
        </is>
      </c>
      <c r="F12" s="12" t="n">
        <v>0.4035</v>
      </c>
      <c r="G12" s="13" t="n">
        <v>201.75</v>
      </c>
      <c r="H12" s="13" t="n">
        <v>403.5</v>
      </c>
      <c r="I12" s="10" t="inlineStr">
        <is>
          <t>Discharge at SP ≥ $300-500/MWh
(MCC $202+ at primary node)</t>
        </is>
      </c>
      <c r="J12" s="10" t="inlineStr">
        <is>
          <t>Monitor trend; discharge on confirmed ramp</t>
        </is>
      </c>
      <c r="K12" s="10" t="n"/>
      <c r="L12" s="10" t="n"/>
    </row>
    <row r="13" ht="51.75" customHeight="1" s="111">
      <c r="A13" s="8" t="inlineStr">
        <is>
          <t>BCESW-SNDSW 345KV</t>
        </is>
      </c>
      <c r="B13" s="9" t="inlineStr">
        <is>
          <t>🟢 Active</t>
        </is>
      </c>
      <c r="C13" s="11" t="inlineStr">
        <is>
          <t>HE17, HE18, HE16</t>
        </is>
      </c>
      <c r="D13" s="10" t="inlineStr">
        <is>
          <t>Not much activity here during summer and winter. Also see this one when south wind is sub 1GW. Consistent factor also seems to be days of strong south load (15GW+) during the solar window</t>
        </is>
      </c>
      <c r="E13" s="11" t="inlineStr">
        <is>
          <t>Holcomb (11.0%)</t>
        </is>
      </c>
      <c r="F13" s="12" t="n">
        <v>0.11</v>
      </c>
      <c r="G13" s="16" t="n">
        <v>55</v>
      </c>
      <c r="H13" s="13" t="n">
        <v>110</v>
      </c>
      <c r="I13" s="10" t="inlineStr">
        <is>
          <t>Discharge at SP ≥ $500-800/MWh
(MCC $55+ at node)</t>
        </is>
      </c>
      <c r="J13" s="10" t="inlineStr">
        <is>
          <t>Monitor trend; discharge on confirmed ramp</t>
        </is>
      </c>
      <c r="K13" s="10" t="n"/>
      <c r="L13" s="10" t="n"/>
    </row>
    <row r="14" ht="51.75" customHeight="1" s="111">
      <c r="A14" s="8" t="inlineStr">
        <is>
          <t>YELWJCKT-FORTMA 138KV</t>
        </is>
      </c>
      <c r="B14" s="9" t="inlineStr">
        <is>
          <t>🟢 Active</t>
        </is>
      </c>
      <c r="C14" s="11" t="inlineStr">
        <is>
          <t>HE7, HE6, HE5</t>
        </is>
      </c>
      <c r="D14" s="10" t="inlineStr">
        <is>
          <t>Very high west winds. See it the most at 13GW+ of west wind gen in offpeak hours and 10+GW of west wind gen in on-peak hours</t>
        </is>
      </c>
      <c r="E14" s="11" t="inlineStr">
        <is>
          <t>—</t>
        </is>
      </c>
      <c r="F14" s="11" t="n"/>
      <c r="G14" s="11" t="n"/>
      <c r="H14" s="11" t="n"/>
      <c r="I14" s="10" t="inlineStr">
        <is>
          <t>Check MCC Calculator</t>
        </is>
      </c>
      <c r="J14" s="10" t="inlineStr">
        <is>
          <t>Monitor trend; discharge on confirmed ramp</t>
        </is>
      </c>
      <c r="K14" s="10" t="n"/>
      <c r="L14" s="10" t="n"/>
    </row>
    <row r="15" ht="51.75" customHeight="1" s="111">
      <c r="A15" s="8" t="inlineStr">
        <is>
          <t>Legend:</t>
        </is>
      </c>
      <c r="B15" s="9" t="inlineStr">
        <is>
          <t>🟢 Active = detailed MCC analysis completed</t>
        </is>
      </c>
      <c r="C15" s="11" t="n"/>
      <c r="D15" s="10" t="n"/>
      <c r="E15" s="11" t="inlineStr">
        <is>
          <t>—</t>
        </is>
      </c>
      <c r="F15" s="11" t="n"/>
      <c r="G15" s="11" t="n"/>
      <c r="H15" s="11" t="n"/>
      <c r="I15" s="10" t="inlineStr">
        <is>
          <t>Check MCC Calculator</t>
        </is>
      </c>
      <c r="J15" s="10" t="inlineStr">
        <is>
          <t>Monitor trend; discharge on confirmed ramp</t>
        </is>
      </c>
      <c r="K15" s="10" t="n"/>
      <c r="L15" s="10" t="n"/>
    </row>
    <row r="16" ht="21.75" customHeight="1" s="111">
      <c r="A16" s="119" t="inlineStr">
        <is>
          <t>🟡  WATCH LINES — Monitor Closely in Mar – May</t>
        </is>
      </c>
    </row>
    <row r="17" ht="51.75" customHeight="1" s="111">
      <c r="A17" s="17" t="inlineStr">
        <is>
          <t>MRVLY-ESTLD 69KV</t>
        </is>
      </c>
      <c r="B17" s="18" t="inlineStr">
        <is>
          <t>🟡 Watch</t>
        </is>
      </c>
      <c r="C17" s="20" t="inlineStr">
        <is>
          <t>HE20, HE19, HE21</t>
        </is>
      </c>
      <c r="D17" s="19" t="inlineStr">
        <is>
          <t>Also seems to be when we see north load reach above 15GW. Especially if it's the load leader by a big chunk on the grid. Look at 01/11 and 01/12</t>
        </is>
      </c>
      <c r="E17" s="20" t="inlineStr">
        <is>
          <t>Cisco (17.3%)</t>
        </is>
      </c>
      <c r="F17" s="21" t="n">
        <v>0.17348</v>
      </c>
      <c r="G17" s="54" t="n">
        <v>86.73999999999999</v>
      </c>
      <c r="H17" s="54" t="n">
        <v>173.48</v>
      </c>
      <c r="I17" s="19" t="inlineStr">
        <is>
          <t>Discharge at SP ≥ $500-800/MWh
(MCC $87+ at node)</t>
        </is>
      </c>
      <c r="J17" s="19" t="inlineStr">
        <is>
          <t>Discharge on sight</t>
        </is>
      </c>
      <c r="K17" s="19" t="n"/>
      <c r="L17" s="19" t="n"/>
    </row>
    <row r="18" ht="51.75" customHeight="1" s="111">
      <c r="A18" s="17" t="inlineStr">
        <is>
          <t>PALOUSE-WOLFCAMP 138KV</t>
        </is>
      </c>
      <c r="B18" s="18" t="inlineStr">
        <is>
          <t>🟡 Watch</t>
        </is>
      </c>
      <c r="C18" s="20" t="inlineStr">
        <is>
          <t>HE18, HE17, HE16</t>
        </is>
      </c>
      <c r="D18" s="19" t="inlineStr">
        <is>
          <t>Strongest pricing seen in the summer (hot). When RT West load gets up to 9GW we will see this, especially when solar is ramping offline.</t>
        </is>
      </c>
      <c r="E18" s="20" t="inlineStr">
        <is>
          <t>Russek (30.6%)</t>
        </is>
      </c>
      <c r="F18" s="21" t="n">
        <v>0.30569</v>
      </c>
      <c r="G18" s="54" t="n">
        <v>152.845</v>
      </c>
      <c r="H18" s="54" t="n">
        <v>305.69</v>
      </c>
      <c r="I18" s="19" t="inlineStr">
        <is>
          <t>Discharge at SP ≥ $300-500/MWh
(MCC $153+ at primary node)</t>
        </is>
      </c>
      <c r="J18" s="19" t="inlineStr">
        <is>
          <t>Discharge on sight</t>
        </is>
      </c>
      <c r="K18" s="19" t="n"/>
      <c r="L18" s="19" t="n"/>
    </row>
    <row r="19" ht="51.75" customHeight="1" s="111">
      <c r="A19" s="17" t="inlineStr">
        <is>
          <t>LPLMK-LPLNE 115KV</t>
        </is>
      </c>
      <c r="B19" s="18" t="inlineStr">
        <is>
          <t>🟡 Watch</t>
        </is>
      </c>
      <c r="C19" s="20" t="inlineStr">
        <is>
          <t>HE21, HE22, HE20</t>
        </is>
      </c>
      <c r="D19" s="19" t="inlineStr">
        <is>
          <t>Don't have very strong shift factors out here in the west but active pretty often when west wind levels go below 5GW but it's actually strong panhandle winds that is the cause.</t>
        </is>
      </c>
      <c r="E19" s="20" t="inlineStr">
        <is>
          <t>Judkins (1.6%)</t>
        </is>
      </c>
      <c r="F19" s="21" t="n">
        <v>0.01594</v>
      </c>
      <c r="G19" s="54" t="n">
        <v>7.97</v>
      </c>
      <c r="H19" s="54" t="n">
        <v>15.94</v>
      </c>
      <c r="I19" s="19" t="inlineStr">
        <is>
          <t>Only strong pricing (SP&gt;$2000) creates meaningful MCC</t>
        </is>
      </c>
      <c r="J19" s="19" t="inlineStr">
        <is>
          <t>Discharge on sight</t>
        </is>
      </c>
      <c r="K19" s="19" t="n"/>
      <c r="L19" s="19" t="n"/>
    </row>
    <row r="20" ht="51.75" customHeight="1" s="111">
      <c r="A20" s="17" t="inlineStr">
        <is>
          <t>CRDSW-OLNEY 69KV</t>
        </is>
      </c>
      <c r="B20" s="18" t="inlineStr">
        <is>
          <t>🟡 Watch</t>
        </is>
      </c>
      <c r="C20" s="20" t="inlineStr">
        <is>
          <t>HE17, HE18, HE16</t>
        </is>
      </c>
      <c r="D20" s="19" t="inlineStr">
        <is>
          <t>See this on hot days where North load reaches up to 22GW+.</t>
        </is>
      </c>
      <c r="E20" s="20" t="inlineStr">
        <is>
          <t>Olney (78.7%)</t>
        </is>
      </c>
      <c r="F20" s="21" t="n">
        <v>0.78682</v>
      </c>
      <c r="G20" s="54" t="n">
        <v>393.41</v>
      </c>
      <c r="H20" s="54" t="n">
        <v>786.8200000000001</v>
      </c>
      <c r="I20" s="19" t="inlineStr">
        <is>
          <t>Discharge at SP ≥ $300-500/MWh
(MCC $393+ at primary node)</t>
        </is>
      </c>
      <c r="J20" s="19" t="inlineStr">
        <is>
          <t>Discharge on sight</t>
        </is>
      </c>
      <c r="K20" s="19" t="n"/>
      <c r="L20" s="19" t="n"/>
    </row>
    <row r="21" ht="51.75" customHeight="1" s="111">
      <c r="A21" s="17" t="inlineStr">
        <is>
          <t>HONDOCK-DEVINESW 69KV</t>
        </is>
      </c>
      <c r="B21" s="18" t="inlineStr">
        <is>
          <t>🟡 Watch</t>
        </is>
      </c>
      <c r="C21" s="20" t="inlineStr">
        <is>
          <t>HE16, HE18, HE17</t>
        </is>
      </c>
      <c r="D21" s="19" t="inlineStr">
        <is>
          <t>Newer constraint that showed up in January. Was strongest in march and april. Skip this one too weak of shift factor</t>
        </is>
      </c>
      <c r="E21" s="20" t="inlineStr">
        <is>
          <t>—</t>
        </is>
      </c>
      <c r="F21" s="20" t="n"/>
      <c r="G21" s="20" t="n"/>
      <c r="H21" s="20" t="n"/>
      <c r="I21" s="19" t="inlineStr">
        <is>
          <t>Check MCC Calculator</t>
        </is>
      </c>
      <c r="J21" s="19" t="inlineStr">
        <is>
          <t>Discharge on sight</t>
        </is>
      </c>
      <c r="K21" s="19" t="n"/>
      <c r="L21" s="19" t="n"/>
    </row>
    <row r="22" ht="51.75" customHeight="1" s="111">
      <c r="A22" s="17" t="inlineStr">
        <is>
          <t>I_FW_N</t>
        </is>
      </c>
      <c r="B22" s="18" t="inlineStr">
        <is>
          <t>🟡 Watch</t>
        </is>
      </c>
      <c r="C22" s="20" t="inlineStr">
        <is>
          <t>HE5, HE6, HE4</t>
        </is>
      </c>
      <c r="D22" s="19" t="inlineStr">
        <is>
          <t>Never really see enough shadow pricing to create strong MCC's here. I also don't see one single issue</t>
        </is>
      </c>
      <c r="E22" s="20" t="inlineStr">
        <is>
          <t>Judkins (15.7%)</t>
        </is>
      </c>
      <c r="F22" s="21" t="n">
        <v>0.1566</v>
      </c>
      <c r="G22" s="54" t="n">
        <v>78.3</v>
      </c>
      <c r="H22" s="54" t="n">
        <v>156.6</v>
      </c>
      <c r="I22" s="19" t="inlineStr">
        <is>
          <t>Discharge at SP ≥ $500-800/MWh
(MCC $78+ at node)</t>
        </is>
      </c>
      <c r="J22" s="19" t="inlineStr">
        <is>
          <t>Discharge on sight</t>
        </is>
      </c>
      <c r="K22" s="19" t="n"/>
      <c r="L22" s="19" t="n"/>
    </row>
    <row r="23" ht="51.75" customHeight="1" s="111">
      <c r="A23" s="17" t="inlineStr">
        <is>
          <t>CARVER-TINSLEY 138KV</t>
        </is>
      </c>
      <c r="B23" s="18" t="inlineStr">
        <is>
          <t>🟡 Watch</t>
        </is>
      </c>
      <c r="C23" s="20" t="inlineStr">
        <is>
          <t>HE21, HE20, HE22</t>
        </is>
      </c>
      <c r="D23" s="19" t="inlineStr">
        <is>
          <t>Most shadow pricing seen in HE11 and 12. See this with West wind at 10GW+ coupled with sub 2GW coastal winds</t>
        </is>
      </c>
      <c r="E23" s="20" t="inlineStr">
        <is>
          <t>Hamilton (32.3%)</t>
        </is>
      </c>
      <c r="F23" s="21" t="n">
        <v>0.32323</v>
      </c>
      <c r="G23" s="54" t="n">
        <v>161.615</v>
      </c>
      <c r="H23" s="54" t="n">
        <v>323.23</v>
      </c>
      <c r="I23" s="19" t="inlineStr">
        <is>
          <t>Discharge at SP ≥ $300-500/MWh
(MCC $162+ at primary node)</t>
        </is>
      </c>
      <c r="J23" s="19" t="inlineStr">
        <is>
          <t>Discharge on sight</t>
        </is>
      </c>
      <c r="K23" s="19" t="n"/>
      <c r="L23" s="19" t="n"/>
    </row>
    <row r="24" ht="51.75" customHeight="1" s="111">
      <c r="A24" s="17" t="inlineStr">
        <is>
          <t>KLNSW-HHSTH 138KV</t>
        </is>
      </c>
      <c r="B24" s="18" t="inlineStr">
        <is>
          <t>🟡 Watch</t>
        </is>
      </c>
      <c r="C24" s="20" t="inlineStr">
        <is>
          <t>HE22, HE23, HE2</t>
        </is>
      </c>
      <c r="D24" s="19" t="inlineStr">
        <is>
          <t>Newer congestion mostly seen in the spring. Esp march and april. Seen all hours but mostly during overnight period. We typically see this congestion when ERCOT wind gen reaches around 24GW+</t>
        </is>
      </c>
      <c r="E24" s="20" t="inlineStr">
        <is>
          <t>—</t>
        </is>
      </c>
      <c r="F24" s="20" t="n"/>
      <c r="G24" s="20" t="n"/>
      <c r="H24" s="20" t="n"/>
      <c r="I24" s="19" t="inlineStr">
        <is>
          <t>Check MCC Calculator</t>
        </is>
      </c>
      <c r="J24" s="19" t="inlineStr">
        <is>
          <t>Discharge on sight</t>
        </is>
      </c>
      <c r="K24" s="19" t="n"/>
      <c r="L24" s="19" t="n"/>
    </row>
    <row r="25" ht="51.75" customHeight="1" s="111">
      <c r="A25" s="17" t="inlineStr">
        <is>
          <t>MADDUX-TREADWEL 138KV</t>
        </is>
      </c>
      <c r="B25" s="18" t="inlineStr">
        <is>
          <t>🟡 Watch</t>
        </is>
      </c>
      <c r="C25" s="20" t="inlineStr">
        <is>
          <t>HE17, HE18, HE16</t>
        </is>
      </c>
      <c r="D25" s="19" t="inlineStr">
        <is>
          <t>Haven't seen much post RTC+B should be interesting to look out for. Can't find much of a driver here.</t>
        </is>
      </c>
      <c r="E25" s="20" t="inlineStr">
        <is>
          <t>Junction (39.3%)</t>
        </is>
      </c>
      <c r="F25" s="21" t="n">
        <v>0.39252</v>
      </c>
      <c r="G25" s="54" t="n">
        <v>196.26</v>
      </c>
      <c r="H25" s="54" t="n">
        <v>392.52</v>
      </c>
      <c r="I25" s="19" t="inlineStr">
        <is>
          <t>Discharge at SP ≥ $300-500/MWh
(MCC $196+ at primary node)</t>
        </is>
      </c>
      <c r="J25" s="19" t="inlineStr">
        <is>
          <t>Discharge on sight</t>
        </is>
      </c>
      <c r="K25" s="19" t="n"/>
      <c r="L25" s="19" t="n"/>
    </row>
    <row r="26" ht="51.75" customHeight="1" s="111">
      <c r="A26" s="17" t="inlineStr">
        <is>
          <t>PRLSW-CONSW 345KV</t>
        </is>
      </c>
      <c r="B26" s="18" t="inlineStr">
        <is>
          <t>🟡 Watch</t>
        </is>
      </c>
      <c r="C26" s="20" t="inlineStr">
        <is>
          <t>HE2, HE4, HE1</t>
        </is>
      </c>
      <c r="D26" s="19" t="inlineStr">
        <is>
          <t>Believe we see this congestion with more mild temps, lower loads, and over 8GW+ of west wind generation</t>
        </is>
      </c>
      <c r="E26" s="20" t="inlineStr">
        <is>
          <t>Judkins (29.0%)</t>
        </is>
      </c>
      <c r="F26" s="21" t="n">
        <v>0.29043</v>
      </c>
      <c r="G26" s="54" t="n">
        <v>145.215</v>
      </c>
      <c r="H26" s="54" t="n">
        <v>290.43</v>
      </c>
      <c r="I26" s="19" t="inlineStr">
        <is>
          <t>Discharge at SP ≥ $300-500/MWh
(MCC $145+ at primary node)</t>
        </is>
      </c>
      <c r="J26" s="19" t="inlineStr">
        <is>
          <t>Discharge on sight</t>
        </is>
      </c>
      <c r="K26" s="19" t="n"/>
      <c r="L26" s="19" t="n"/>
    </row>
    <row r="27" ht="51.75" customHeight="1" s="111">
      <c r="A27" s="17" t="inlineStr">
        <is>
          <t>MAXWELL-HAMILTON 138KV</t>
        </is>
      </c>
      <c r="B27" s="18" t="inlineStr">
        <is>
          <t>🟡 Watch</t>
        </is>
      </c>
      <c r="C27" s="20" t="inlineStr">
        <is>
          <t>HE2, HE24, HE1</t>
        </is>
      </c>
      <c r="D27" s="19" t="inlineStr">
        <is>
          <t>Will be interesting to see if this still plays in Post RTC + B. Associated with 13+GW of west wind generation.</t>
        </is>
      </c>
      <c r="E27" s="20" t="inlineStr">
        <is>
          <t>Hamilton (23.0%)</t>
        </is>
      </c>
      <c r="F27" s="21" t="n">
        <v>0.22977</v>
      </c>
      <c r="G27" s="54" t="n">
        <v>114.885</v>
      </c>
      <c r="H27" s="54" t="n">
        <v>229.77</v>
      </c>
      <c r="I27" s="19" t="inlineStr">
        <is>
          <t>Discharge at SP ≥ $300-500/MWh
(MCC $115+ at primary node)</t>
        </is>
      </c>
      <c r="J27" s="19" t="inlineStr">
        <is>
          <t>Discharge on sight</t>
        </is>
      </c>
      <c r="K27" s="19" t="n"/>
      <c r="L27" s="19" t="n"/>
    </row>
    <row r="28" ht="51.75" customHeight="1" s="111">
      <c r="A28" s="17" t="inlineStr">
        <is>
          <t>SONR-ATSO 69KV</t>
        </is>
      </c>
      <c r="B28" s="18" t="inlineStr">
        <is>
          <t>🟡 Watch</t>
        </is>
      </c>
      <c r="C28" s="20" t="inlineStr">
        <is>
          <t>HE1, HE3, HE2</t>
        </is>
      </c>
      <c r="D28" s="19" t="inlineStr">
        <is>
          <t>Don't really know what the driver is here. It could be west load surpassing 9GW+ overnight but not sure how common that is. The west wind levels are not very reliable but could be attributed with Low west winds OR high west winds</t>
        </is>
      </c>
      <c r="E28" s="20" t="inlineStr">
        <is>
          <t>Russek (5.0%)</t>
        </is>
      </c>
      <c r="F28" s="21" t="n">
        <v>0.05</v>
      </c>
      <c r="G28" s="54" t="n">
        <v>25</v>
      </c>
      <c r="H28" s="54" t="n">
        <v>50</v>
      </c>
      <c r="I28" s="19" t="inlineStr">
        <is>
          <t>Discharge at SP ≥ $1000+/MWh
(Need strong pricing for good MCC)</t>
        </is>
      </c>
      <c r="J28" s="19" t="inlineStr">
        <is>
          <t>Discharge on sight</t>
        </is>
      </c>
      <c r="K28" s="19" t="n"/>
      <c r="L28" s="19" t="n"/>
    </row>
    <row r="29" ht="51.75" customHeight="1" s="111">
      <c r="A29" s="17" t="inlineStr">
        <is>
          <t>LAKENASW-SAMATHIS 69KV</t>
        </is>
      </c>
      <c r="B29" s="18" t="inlineStr">
        <is>
          <t>🟡 Watch</t>
        </is>
      </c>
      <c r="C29" s="20" t="inlineStr">
        <is>
          <t>HE1, HE4, HE24</t>
        </is>
      </c>
      <c r="D29" s="19" t="inlineStr">
        <is>
          <t>See this with low West wind Generation. More specifically sub 6GW of Gen</t>
        </is>
      </c>
      <c r="E29" s="20" t="inlineStr">
        <is>
          <t>Russek (7.3%)</t>
        </is>
      </c>
      <c r="F29" s="21" t="n">
        <v>0.07252</v>
      </c>
      <c r="G29" s="54" t="n">
        <v>36.26</v>
      </c>
      <c r="H29" s="54" t="n">
        <v>72.52</v>
      </c>
      <c r="I29" s="19" t="inlineStr">
        <is>
          <t>Discharge at SP ≥ $1000+/MWh
(Need strong pricing for good MCC)</t>
        </is>
      </c>
      <c r="J29" s="19" t="inlineStr">
        <is>
          <t>Discharge on sight</t>
        </is>
      </c>
      <c r="K29" s="19" t="n"/>
      <c r="L29" s="19" t="n"/>
    </row>
    <row r="30" ht="51.75" customHeight="1" s="111">
      <c r="A30" s="17" t="inlineStr">
        <is>
          <t>BRUNI 138KV</t>
        </is>
      </c>
      <c r="B30" s="18" t="inlineStr">
        <is>
          <t>🟡 Watch</t>
        </is>
      </c>
      <c r="C30" s="20" t="inlineStr">
        <is>
          <t>HE23, HE22, HE21</t>
        </is>
      </c>
      <c r="D30" s="19" t="inlineStr">
        <is>
          <t>Our shift factors are only like 1% so can't really include this one. Maybe associated with 1.5GW+ of south wind gen</t>
        </is>
      </c>
      <c r="E30" s="20" t="inlineStr">
        <is>
          <t>Catarina (1.0%)</t>
        </is>
      </c>
      <c r="F30" s="21" t="n">
        <v>0.01044</v>
      </c>
      <c r="G30" s="54" t="n">
        <v>5.22</v>
      </c>
      <c r="H30" s="54" t="n">
        <v>10.44</v>
      </c>
      <c r="I30" s="19" t="inlineStr">
        <is>
          <t>Only strong pricing (SP&gt;$2000) creates meaningful MCC</t>
        </is>
      </c>
      <c r="J30" s="19" t="inlineStr">
        <is>
          <t>Discharge on sight</t>
        </is>
      </c>
      <c r="K30" s="19" t="n"/>
      <c r="L30" s="19" t="n"/>
    </row>
    <row r="31" ht="51.75" customHeight="1" s="111">
      <c r="A31" s="17" t="inlineStr">
        <is>
          <t>CRTRVLLE-HILGR 138KV</t>
        </is>
      </c>
      <c r="B31" s="18" t="inlineStr">
        <is>
          <t>🟡 Watch</t>
        </is>
      </c>
      <c r="C31" s="20" t="inlineStr">
        <is>
          <t>HE1, HE2, HE23</t>
        </is>
      </c>
      <c r="D31" s="19" t="inlineStr">
        <is>
          <t>Never rlly seen MCC's over $50 for our west sites so not much to report on here. Driver here is 10GW+ of west wind gen</t>
        </is>
      </c>
      <c r="E31" s="20" t="inlineStr">
        <is>
          <t>Judkins (4.0%)</t>
        </is>
      </c>
      <c r="F31" s="21" t="n">
        <v>0.04</v>
      </c>
      <c r="G31" s="54" t="n">
        <v>20</v>
      </c>
      <c r="H31" s="54" t="n">
        <v>40</v>
      </c>
      <c r="I31" s="19" t="inlineStr">
        <is>
          <t>Only strong pricing (SP&gt;$2000) creates meaningful MCC</t>
        </is>
      </c>
      <c r="J31" s="19" t="inlineStr">
        <is>
          <t>Discharge on sight</t>
        </is>
      </c>
      <c r="K31" s="19" t="n"/>
      <c r="L31" s="19" t="n"/>
    </row>
    <row r="32" ht="51.75" customHeight="1" s="111">
      <c r="A32" s="17" t="inlineStr">
        <is>
          <t>NORTMC-CROSSOVE 138KV</t>
        </is>
      </c>
      <c r="B32" s="18" t="inlineStr">
        <is>
          <t>🟡 Watch</t>
        </is>
      </c>
      <c r="C32" s="20" t="inlineStr">
        <is>
          <t>HE19, HE17, HE16</t>
        </is>
      </c>
      <c r="D32" s="19" t="inlineStr">
        <is>
          <t>Above 9.5GW+ of west load. Mostly see it also when west temps reached above 91 degrees which is correlated with load patterns</t>
        </is>
      </c>
      <c r="E32" s="20" t="inlineStr">
        <is>
          <t>Russek (34.2%)</t>
        </is>
      </c>
      <c r="F32" s="21" t="n">
        <v>0.34171</v>
      </c>
      <c r="G32" s="54" t="n">
        <v>170.855</v>
      </c>
      <c r="H32" s="54" t="n">
        <v>341.71</v>
      </c>
      <c r="I32" s="19" t="inlineStr">
        <is>
          <t>Discharge at SP ≥ $300-500/MWh
(MCC $171+ at primary node)</t>
        </is>
      </c>
      <c r="J32" s="19" t="inlineStr">
        <is>
          <t>Discharge on sight</t>
        </is>
      </c>
      <c r="K32" s="19" t="n"/>
      <c r="L32" s="19" t="n"/>
    </row>
    <row r="33" ht="51.75" customHeight="1" s="111">
      <c r="A33" s="17" t="inlineStr">
        <is>
          <t>LA_PALMA-HAINE_DR 138KV</t>
        </is>
      </c>
      <c r="B33" s="18" t="inlineStr">
        <is>
          <t>🟡 Watch</t>
        </is>
      </c>
      <c r="C33" s="20" t="inlineStr">
        <is>
          <t>HE17, HE16, HE18</t>
        </is>
      </c>
      <c r="D33" s="19" t="inlineStr">
        <is>
          <t>See this congestion with 2GW+ of south wind Gen and 2.5GW+ of coastal wind gen</t>
        </is>
      </c>
      <c r="E33" s="20" t="inlineStr">
        <is>
          <t>Val Verde (1.9%)</t>
        </is>
      </c>
      <c r="F33" s="21" t="n">
        <v>0.018556</v>
      </c>
      <c r="G33" s="54" t="n">
        <v>9.278</v>
      </c>
      <c r="H33" s="54" t="n">
        <v>18.556</v>
      </c>
      <c r="I33" s="19" t="inlineStr">
        <is>
          <t>Only strong pricing (SP&gt;$2000) creates meaningful MCC</t>
        </is>
      </c>
      <c r="J33" s="19" t="inlineStr">
        <is>
          <t>Discharge on sight</t>
        </is>
      </c>
      <c r="K33" s="19" t="n"/>
      <c r="L33" s="19" t="n"/>
    </row>
    <row r="34" ht="51.75" customHeight="1" s="111">
      <c r="A34" s="17" t="inlineStr">
        <is>
          <t>GN-PZ 138KV</t>
        </is>
      </c>
      <c r="B34" s="18" t="inlineStr">
        <is>
          <t>🟡 Watch</t>
        </is>
      </c>
      <c r="C34" s="20" t="inlineStr">
        <is>
          <t>HE16, HE14, HE17</t>
        </is>
      </c>
      <c r="D34" s="19" t="inlineStr">
        <is>
          <t>High coastal wind generation, specifically around 2GW+</t>
        </is>
      </c>
      <c r="E34" s="20" t="inlineStr">
        <is>
          <t>Mainland (18.3%)</t>
        </is>
      </c>
      <c r="F34" s="21" t="n">
        <v>0.18322</v>
      </c>
      <c r="G34" s="54" t="n">
        <v>91.61</v>
      </c>
      <c r="H34" s="54" t="n">
        <v>183.22</v>
      </c>
      <c r="I34" s="19" t="inlineStr">
        <is>
          <t>Discharge at SP ≥ $500-800/MWh
(MCC $92+ at node)</t>
        </is>
      </c>
      <c r="J34" s="19" t="inlineStr">
        <is>
          <t>Discharge on sight</t>
        </is>
      </c>
      <c r="K34" s="19" t="n"/>
      <c r="L34" s="19" t="n"/>
    </row>
    <row r="35" ht="51.75" customHeight="1" s="111">
      <c r="A35" s="17" t="inlineStr">
        <is>
          <t>PILONCIL-NLARSW 138KV</t>
        </is>
      </c>
      <c r="B35" s="18" t="inlineStr">
        <is>
          <t>🟡 Watch</t>
        </is>
      </c>
      <c r="C35" s="20" t="inlineStr">
        <is>
          <t>HE16, HE15, HE17</t>
        </is>
      </c>
      <c r="D35" s="19" t="inlineStr">
        <is>
          <t>see this with really low coastal and south winds. Like sub 1GW for each.</t>
        </is>
      </c>
      <c r="E35" s="20" t="inlineStr">
        <is>
          <t>Holcomb (23.8%)</t>
        </is>
      </c>
      <c r="F35" s="21" t="n">
        <v>0.23807</v>
      </c>
      <c r="G35" s="54" t="n">
        <v>119.035</v>
      </c>
      <c r="H35" s="54" t="n">
        <v>238.07</v>
      </c>
      <c r="I35" s="19" t="inlineStr">
        <is>
          <t>Discharge at SP ≥ $300-500/MWh
(MCC $119+ at primary node)</t>
        </is>
      </c>
      <c r="J35" s="19" t="inlineStr">
        <is>
          <t>Discharge on sight</t>
        </is>
      </c>
      <c r="K35" s="19" t="n"/>
      <c r="L35" s="19" t="n"/>
    </row>
    <row r="36" ht="51.75" customHeight="1" s="111">
      <c r="A36" s="17" t="inlineStr">
        <is>
          <t>MV_BURNS-MV_HBRG4 138KV</t>
        </is>
      </c>
      <c r="B36" s="18" t="inlineStr">
        <is>
          <t>🟡 Watch</t>
        </is>
      </c>
      <c r="C36" s="20" t="inlineStr">
        <is>
          <t>HE17, HE18, HE19</t>
        </is>
      </c>
      <c r="D36" s="19" t="inlineStr">
        <is>
          <t>Common to see when you get 3GW+ of coastal wind levels. Saw most shadow pricing in april of 2026. having 2+GW of south wind stacked also makes the line bind</t>
        </is>
      </c>
      <c r="E36" s="20" t="inlineStr">
        <is>
          <t>Val Verde (15.3%)</t>
        </is>
      </c>
      <c r="F36" s="21" t="n">
        <v>0.15343</v>
      </c>
      <c r="G36" s="54" t="n">
        <v>76.715</v>
      </c>
      <c r="H36" s="54" t="n">
        <v>153.43</v>
      </c>
      <c r="I36" s="19" t="inlineStr">
        <is>
          <t>Discharge at SP ≥ $500-800/MWh
(MCC $77+ at node)</t>
        </is>
      </c>
      <c r="J36" s="19" t="inlineStr">
        <is>
          <t>Discharge on sight</t>
        </is>
      </c>
      <c r="K36" s="19" t="n"/>
      <c r="L36" s="19" t="n"/>
    </row>
    <row r="37" ht="51.75" customHeight="1" s="111">
      <c r="A37" s="17" t="inlineStr">
        <is>
          <t>CATARINA-ASHERTON 138KV</t>
        </is>
      </c>
      <c r="B37" s="18" t="inlineStr">
        <is>
          <t>🟡 Watch</t>
        </is>
      </c>
      <c r="C37" s="20" t="inlineStr">
        <is>
          <t>HE22, HE21, HE20</t>
        </is>
      </c>
      <c r="D37" s="19" t="inlineStr">
        <is>
          <t>Have not seen much shadow pricing from here in the past year. We get this congestion with 2.5GW of coastal wind and 2.1GW+ of south wind gen</t>
        </is>
      </c>
      <c r="E37" s="20" t="inlineStr">
        <is>
          <t>Hamilton (7.2%)</t>
        </is>
      </c>
      <c r="F37" s="21" t="n">
        <v>0.0722</v>
      </c>
      <c r="G37" s="54" t="n">
        <v>36.1</v>
      </c>
      <c r="H37" s="54" t="n">
        <v>72.2</v>
      </c>
      <c r="I37" s="19" t="inlineStr">
        <is>
          <t>Discharge at SP ≥ $1000+/MWh
(Need strong pricing for good MCC)</t>
        </is>
      </c>
      <c r="J37" s="19" t="inlineStr">
        <is>
          <t>Discharge on sight</t>
        </is>
      </c>
      <c r="K37" s="19" t="n"/>
      <c r="L37" s="19" t="n"/>
    </row>
    <row r="38" ht="51.75" customHeight="1" s="111">
      <c r="A38" s="17" t="inlineStr">
        <is>
          <t>BR-HOC 138KV</t>
        </is>
      </c>
      <c r="B38" s="18" t="inlineStr">
        <is>
          <t>🟡 Watch</t>
        </is>
      </c>
      <c r="C38" s="20" t="inlineStr">
        <is>
          <t>HE16, HE15, HE17</t>
        </is>
      </c>
      <c r="D38" s="19" t="inlineStr">
        <is>
          <t>Common to see with 2.7GW+ of coastal wind gen and 2.5GW of south wind gen. can see in all hours of the day but most common in HE10-18.</t>
        </is>
      </c>
      <c r="E38" s="20" t="inlineStr">
        <is>
          <t>Mainland (9.5%)</t>
        </is>
      </c>
      <c r="F38" s="21" t="n">
        <v>0.09515</v>
      </c>
      <c r="G38" s="54" t="n">
        <v>47.575</v>
      </c>
      <c r="H38" s="54" t="n">
        <v>95.15000000000001</v>
      </c>
      <c r="I38" s="19" t="inlineStr">
        <is>
          <t>Discharge at SP ≥ $1000+/MWh
(Need strong pricing for good MCC)</t>
        </is>
      </c>
      <c r="J38" s="19" t="inlineStr">
        <is>
          <t>Discharge on sight</t>
        </is>
      </c>
      <c r="K38" s="19" t="n"/>
      <c r="L38" s="19" t="n"/>
    </row>
    <row r="39" ht="51.75" customHeight="1" s="111">
      <c r="A39" s="17" t="inlineStr">
        <is>
          <t>BOW 69KV</t>
        </is>
      </c>
      <c r="B39" s="18" t="inlineStr">
        <is>
          <t>🟡 Watch</t>
        </is>
      </c>
      <c r="C39" s="20" t="inlineStr">
        <is>
          <t>HE9, HE8, HE20</t>
        </is>
      </c>
      <c r="D39" s="19" t="inlineStr">
        <is>
          <t>Pretty new congestion here. Seen march, april and may of 26. We see this congestion with high system-wide winds. Around like 20GW+ of wind gen</t>
        </is>
      </c>
      <c r="E39" s="20" t="inlineStr">
        <is>
          <t>—</t>
        </is>
      </c>
      <c r="F39" s="20" t="n"/>
      <c r="G39" s="20" t="n"/>
      <c r="H39" s="20" t="n"/>
      <c r="I39" s="19" t="inlineStr">
        <is>
          <t>Check MCC Calculator</t>
        </is>
      </c>
      <c r="J39" s="19" t="inlineStr">
        <is>
          <t>Discharge on sight</t>
        </is>
      </c>
      <c r="K39" s="19" t="n"/>
      <c r="L39" s="19" t="n"/>
    </row>
    <row r="40" ht="51.75" customHeight="1" s="111">
      <c r="A40" s="17" t="inlineStr">
        <is>
          <t>MCCAMY</t>
        </is>
      </c>
      <c r="B40" s="18" t="inlineStr">
        <is>
          <t>🟡 Watch</t>
        </is>
      </c>
      <c r="C40" s="20" t="inlineStr">
        <is>
          <t>HE13, HE12, HE14</t>
        </is>
      </c>
      <c r="D40" s="19" t="inlineStr">
        <is>
          <t>Delete, don’t see any shadow pricing</t>
        </is>
      </c>
      <c r="E40" s="20" t="inlineStr">
        <is>
          <t>—</t>
        </is>
      </c>
      <c r="F40" s="20" t="n"/>
      <c r="G40" s="20" t="n"/>
      <c r="H40" s="20" t="n"/>
      <c r="I40" s="19" t="inlineStr">
        <is>
          <t>Check MCC Calculator</t>
        </is>
      </c>
      <c r="J40" s="19" t="inlineStr">
        <is>
          <t>Discharge on sight</t>
        </is>
      </c>
      <c r="K40" s="19" t="n"/>
      <c r="L40" s="19" t="n"/>
    </row>
    <row r="41" ht="51.75" customHeight="1" s="111">
      <c r="A41" s="17" t="inlineStr">
        <is>
          <t>CMNSW-CMNTP 138KV</t>
        </is>
      </c>
      <c r="B41" s="18" t="inlineStr">
        <is>
          <t>🟡 Watch</t>
        </is>
      </c>
      <c r="C41" s="20" t="inlineStr">
        <is>
          <t>HE17, HE19, HE18</t>
        </is>
      </c>
      <c r="D41" s="19" t="inlineStr">
        <is>
          <t>Get this congestion when coastal winds surpass 2.7GW+ of coastal gen. When system wide wind gen reaches to 20GW+ is where we get the best shadow pricing. Don't get much pricing from here though with low shift factors</t>
        </is>
      </c>
      <c r="E41" s="20" t="inlineStr">
        <is>
          <t>Cisco (5.0%)</t>
        </is>
      </c>
      <c r="F41" s="21" t="n">
        <v>0.05</v>
      </c>
      <c r="G41" s="54" t="n">
        <v>25</v>
      </c>
      <c r="H41" s="54" t="n">
        <v>50</v>
      </c>
      <c r="I41" s="19" t="inlineStr">
        <is>
          <t>Discharge at SP ≥ $1000+/MWh
(Need strong pricing for good MCC)</t>
        </is>
      </c>
      <c r="J41" s="19" t="inlineStr">
        <is>
          <t>Discharge on sight</t>
        </is>
      </c>
      <c r="K41" s="19" t="n"/>
      <c r="L41" s="19" t="n"/>
    </row>
    <row r="42" ht="51.75" customHeight="1" s="111">
      <c r="A42" s="17" t="inlineStr">
        <is>
          <t>WOLFCAMP-SANTARIT 138KV</t>
        </is>
      </c>
      <c r="B42" s="18" t="inlineStr">
        <is>
          <t>🟡 Watch</t>
        </is>
      </c>
      <c r="C42" s="20" t="inlineStr">
        <is>
          <t>HE17, HE16, HE19</t>
        </is>
      </c>
      <c r="D42" s="19" t="inlineStr">
        <is>
          <t>No specific driver I can find here. Russek has a 32% shift factor here. High temps also tend to flair up this line. Only saw for 2 days in April</t>
        </is>
      </c>
      <c r="E42" s="20" t="inlineStr">
        <is>
          <t>Russek (31.7%)</t>
        </is>
      </c>
      <c r="F42" s="21" t="n">
        <v>0.31739</v>
      </c>
      <c r="G42" s="54" t="n">
        <v>158.695</v>
      </c>
      <c r="H42" s="54" t="n">
        <v>317.39</v>
      </c>
      <c r="I42" s="19" t="inlineStr">
        <is>
          <t>Discharge at SP ≥ $300-500/MWh
(MCC $159+ at primary node)</t>
        </is>
      </c>
      <c r="J42" s="19" t="inlineStr">
        <is>
          <t>Discharge on sight</t>
        </is>
      </c>
      <c r="K42" s="19" t="n"/>
      <c r="L42" s="19" t="n"/>
    </row>
    <row r="43" ht="51.75" customHeight="1" s="111">
      <c r="A43" s="17" t="inlineStr">
        <is>
          <t>LHSES-PRCSW 138KV</t>
        </is>
      </c>
      <c r="B43" s="18" t="inlineStr">
        <is>
          <t>🟡 Watch</t>
        </is>
      </c>
      <c r="C43" s="20" t="inlineStr">
        <is>
          <t>HE20, HE19, HE17</t>
        </is>
      </c>
      <c r="D43" s="19" t="inlineStr">
        <is>
          <t>Skip this one. Only -5% shift factor here at North sites</t>
        </is>
      </c>
      <c r="E43" s="20" t="inlineStr">
        <is>
          <t>—</t>
        </is>
      </c>
      <c r="F43" s="20" t="n"/>
      <c r="G43" s="20" t="n"/>
      <c r="H43" s="20" t="n"/>
      <c r="I43" s="19" t="inlineStr">
        <is>
          <t>Check MCC Calculator</t>
        </is>
      </c>
      <c r="J43" s="19" t="inlineStr">
        <is>
          <t>Discharge on sight</t>
        </is>
      </c>
      <c r="K43" s="19" t="n"/>
      <c r="L43" s="19" t="n"/>
    </row>
    <row r="44" ht="51.75" customHeight="1" s="111">
      <c r="A44" s="17" t="inlineStr">
        <is>
          <t>COLETO CREEK-VICTORIA</t>
        </is>
      </c>
      <c r="B44" s="18" t="inlineStr">
        <is>
          <t>🟡 Watch</t>
        </is>
      </c>
      <c r="C44" s="20" t="inlineStr">
        <is>
          <t>HE20, HE22, HE21</t>
        </is>
      </c>
      <c r="D44" s="19" t="inlineStr">
        <is>
          <t>Strong hours are HE20-1 but seen across all hours. This seems to be all coastal wind generated. When we get over 2.4GW of coastal wind gen, theres a good change we'll see this. Strongest shadow pricing has come from coastal wind at 3GW+</t>
        </is>
      </c>
      <c r="E44" s="20" t="inlineStr">
        <is>
          <t>—</t>
        </is>
      </c>
      <c r="F44" s="20" t="n"/>
      <c r="G44" s="20" t="n"/>
      <c r="H44" s="20" t="n"/>
      <c r="I44" s="19" t="inlineStr">
        <is>
          <t>Check MCC Calculator</t>
        </is>
      </c>
      <c r="J44" s="19" t="inlineStr">
        <is>
          <t>Discharge on sight</t>
        </is>
      </c>
      <c r="K44" s="19" t="n"/>
      <c r="L44" s="19" t="n"/>
    </row>
    <row r="45" ht="51.75" customHeight="1" s="111">
      <c r="A45" s="17" t="inlineStr">
        <is>
          <t>FMRVL-RYSSW 345KV</t>
        </is>
      </c>
      <c r="B45" s="18" t="inlineStr">
        <is>
          <t>🟡 Watch</t>
        </is>
      </c>
      <c r="C45" s="20" t="inlineStr">
        <is>
          <t>HE17, HE16, HE15</t>
        </is>
      </c>
      <c r="D45" s="19" t="inlineStr">
        <is>
          <t>Dibol only has a 6% shift factor here but seen shadow pricing in the thousands. Only saw decent shadow pricing for one day. Delete</t>
        </is>
      </c>
      <c r="E45" s="20" t="inlineStr">
        <is>
          <t>Diboll (5.2%)</t>
        </is>
      </c>
      <c r="F45" s="21" t="n">
        <v>0.05227</v>
      </c>
      <c r="G45" s="54" t="n">
        <v>26.135</v>
      </c>
      <c r="H45" s="54" t="n">
        <v>52.27</v>
      </c>
      <c r="I45" s="19" t="inlineStr">
        <is>
          <t>Discharge at SP ≥ $1000+/MWh
(Need strong pricing for good MCC)</t>
        </is>
      </c>
      <c r="J45" s="19" t="inlineStr">
        <is>
          <t>Discharge on sight</t>
        </is>
      </c>
      <c r="K45" s="19" t="n"/>
      <c r="L45" s="19" t="n"/>
    </row>
  </sheetData>
  <mergeCells count="4">
    <mergeCell ref="A16:L16"/>
    <mergeCell ref="A2:N2"/>
    <mergeCell ref="A4:L4"/>
    <mergeCell ref="A1:N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00838F"/>
    <outlinePr summaryBelow="1" summaryRight="1"/>
    <pageSetUpPr/>
  </sheetPr>
  <dimension ref="A1:U109"/>
  <sheetViews>
    <sheetView zoomScaleNormal="100" workbookViewId="0">
      <pane xSplit="1" ySplit="3" topLeftCell="B53" activePane="bottomRight" state="frozen"/>
      <selection pane="topRight" activeCell="B1" sqref="B1"/>
      <selection pane="bottomLeft" activeCell="A4" sqref="A4"/>
      <selection pane="bottomRight" activeCell="Q1" sqref="Q1"/>
    </sheetView>
  </sheetViews>
  <sheetFormatPr baseColWidth="8" defaultColWidth="8.7109375" defaultRowHeight="15"/>
  <cols>
    <col width="30" customWidth="1" style="111" min="1" max="1"/>
    <col width="10" customWidth="1" style="111" min="2" max="2"/>
    <col width="16" customWidth="1" style="111" min="3" max="3"/>
    <col width="14" customWidth="1" style="111" min="4" max="4"/>
    <col width="10" customWidth="1" style="111" min="5" max="17"/>
    <col width="24" customWidth="1" style="111" min="18" max="21"/>
  </cols>
  <sheetData>
    <row r="1" ht="27.75" customHeight="1" s="111">
      <c r="A1" s="126" t="inlineStr">
        <is>
          <t>NODAL SHIFT FACTOR REFERENCE TABLE — Source: ERCOT Historical Study (Apr 2025 – May 2026)</t>
        </is>
      </c>
    </row>
    <row r="2" ht="21.75" customHeight="1" s="111">
      <c r="A2" s="118" t="inlineStr">
        <is>
          <t>Shift Factor = % of the line's shadow price passed through to that node as MCC. Blank = node not significantly exposed. Negative = inverse exposure.</t>
        </is>
      </c>
    </row>
    <row r="3" ht="31.5" customHeight="1" s="111">
      <c r="A3" s="7" t="inlineStr">
        <is>
          <t>Line / Constraint</t>
        </is>
      </c>
      <c r="B3" s="7" t="inlineStr">
        <is>
          <t>Priority</t>
        </is>
      </c>
      <c r="C3" s="7" t="inlineStr">
        <is>
          <t>Total Shadow $</t>
        </is>
      </c>
      <c r="D3" s="7" t="inlineStr">
        <is>
          <t>Peak HEs</t>
        </is>
      </c>
      <c r="E3" s="7" t="inlineStr">
        <is>
          <t>Russek</t>
        </is>
      </c>
      <c r="F3" s="7" t="inlineStr">
        <is>
          <t>Catarina</t>
        </is>
      </c>
      <c r="G3" s="7" t="inlineStr">
        <is>
          <t>Holcomb</t>
        </is>
      </c>
      <c r="H3" s="7" t="inlineStr">
        <is>
          <t>Hamilton</t>
        </is>
      </c>
      <c r="I3" s="7" t="inlineStr">
        <is>
          <t>Fort Duncan</t>
        </is>
      </c>
      <c r="J3" s="7" t="inlineStr">
        <is>
          <t>Junction</t>
        </is>
      </c>
      <c r="K3" s="7" t="inlineStr">
        <is>
          <t>Judkins</t>
        </is>
      </c>
      <c r="L3" s="7" t="inlineStr">
        <is>
          <t>Saddleback</t>
        </is>
      </c>
      <c r="M3" s="7" t="inlineStr">
        <is>
          <t>Val Verde</t>
        </is>
      </c>
      <c r="N3" s="7" t="inlineStr">
        <is>
          <t>Mainland</t>
        </is>
      </c>
      <c r="O3" s="7" t="inlineStr">
        <is>
          <t>Cisco</t>
        </is>
      </c>
      <c r="P3" s="7" t="inlineStr">
        <is>
          <t>Diboll</t>
        </is>
      </c>
      <c r="Q3" s="7" t="inlineStr">
        <is>
          <t>Olney</t>
        </is>
      </c>
      <c r="R3" s="7" t="inlineStr">
        <is>
          <t>West TX Range (10 sites)</t>
        </is>
      </c>
      <c r="S3" s="7" t="inlineStr">
        <is>
          <t>North TX Range (4 sites)</t>
        </is>
      </c>
      <c r="T3" s="7" t="inlineStr">
        <is>
          <t>Coastal Range (5 sites)</t>
        </is>
      </c>
      <c r="U3" s="7" t="inlineStr">
        <is>
          <t>Notable Non-Premium Site(s)</t>
        </is>
      </c>
    </row>
    <row r="4" ht="19.5" customHeight="1" s="111">
      <c r="A4" s="55" t="inlineStr">
        <is>
          <t>TWINBU-HARGROVE 138KV</t>
        </is>
      </c>
      <c r="B4" s="56" t="inlineStr">
        <is>
          <t>🟢 Active</t>
        </is>
      </c>
      <c r="C4" s="57" t="n">
        <v>812338.3</v>
      </c>
      <c r="D4" s="58" t="inlineStr">
        <is>
          <t>HE5, HE6, HE4</t>
        </is>
      </c>
      <c r="E4" s="59" t="n">
        <v>0.31665</v>
      </c>
      <c r="F4" s="58" t="n"/>
      <c r="G4" s="58" t="n"/>
      <c r="H4" s="60" t="n">
        <v>0.0679</v>
      </c>
      <c r="I4" s="60" t="n">
        <v>0.04386</v>
      </c>
      <c r="J4" s="58" t="n"/>
      <c r="K4" s="60" t="n">
        <v>0.01781</v>
      </c>
      <c r="L4" s="60" t="n">
        <v>0.02485</v>
      </c>
      <c r="M4" s="58" t="n"/>
      <c r="N4" s="58" t="n"/>
      <c r="O4" s="58" t="n"/>
      <c r="P4" s="58" t="n"/>
      <c r="Q4" s="58" t="n"/>
      <c r="R4" s="89" t="inlineStr">
        <is>
          <t>0.0106 to 0.0350</t>
        </is>
      </c>
      <c r="S4" s="89" t="inlineStr">
        <is>
          <t>-0.0035 to -0.0033</t>
        </is>
      </c>
      <c r="T4" s="89" t="inlineStr">
        <is>
          <t>-0.0039 to -0.0026</t>
        </is>
      </c>
      <c r="U4" s="89" t="n"/>
    </row>
    <row r="5" ht="19.5" customHeight="1" s="111">
      <c r="A5" s="55" t="inlineStr">
        <is>
          <t>LARDVNTH-LASCRUCE 138KV</t>
        </is>
      </c>
      <c r="B5" s="56" t="inlineStr">
        <is>
          <t>🟢 Active</t>
        </is>
      </c>
      <c r="C5" s="57" t="n">
        <v>150133.74</v>
      </c>
      <c r="D5" s="58" t="inlineStr">
        <is>
          <t>HE20, HE21, HE22</t>
        </is>
      </c>
      <c r="E5" s="60" t="n">
        <v>0.01</v>
      </c>
      <c r="F5" s="61" t="n">
        <v>0.17885</v>
      </c>
      <c r="G5" s="59" t="n">
        <v>0.29736</v>
      </c>
      <c r="H5" s="60" t="n">
        <v>0.06158</v>
      </c>
      <c r="I5" s="58" t="n"/>
      <c r="J5" s="58" t="n"/>
      <c r="K5" s="58" t="n"/>
      <c r="L5" s="58" t="n"/>
      <c r="M5" s="62" t="n">
        <v>-0.079</v>
      </c>
      <c r="N5" s="58" t="n"/>
      <c r="O5" s="58" t="n"/>
      <c r="P5" s="58" t="n"/>
      <c r="Q5" s="58" t="n"/>
      <c r="R5" s="89" t="inlineStr">
        <is>
          <t>0.0062 to 0.0076</t>
        </is>
      </c>
      <c r="S5" s="89" t="inlineStr">
        <is>
          <t>0.0035 to 0.0042</t>
        </is>
      </c>
      <c r="T5" s="89" t="inlineStr">
        <is>
          <t>-0.0971 to -0.0039</t>
        </is>
      </c>
      <c r="U5" s="89" t="inlineStr">
        <is>
          <t>Falfurrias (Coastal): -0.0971</t>
        </is>
      </c>
    </row>
    <row r="6" ht="19.5" customHeight="1" s="111">
      <c r="A6" s="55" t="inlineStr">
        <is>
          <t>FORTMA-YELWJCKT 138KV</t>
        </is>
      </c>
      <c r="B6" s="56" t="inlineStr">
        <is>
          <t>🟢 Active</t>
        </is>
      </c>
      <c r="C6" s="57" t="n">
        <v>103773.93</v>
      </c>
      <c r="D6" s="58" t="inlineStr">
        <is>
          <t>HE21, HE20, HE23</t>
        </is>
      </c>
      <c r="E6" s="60" t="n">
        <v>0.032</v>
      </c>
      <c r="F6" s="58" t="n"/>
      <c r="G6" s="58" t="n"/>
      <c r="H6" s="58" t="n"/>
      <c r="I6" s="58" t="n"/>
      <c r="J6" s="59" t="n">
        <v>0.5</v>
      </c>
      <c r="K6" s="60" t="n">
        <v>0.02</v>
      </c>
      <c r="L6" s="60" t="n">
        <v>0.02</v>
      </c>
      <c r="M6" s="58" t="n"/>
      <c r="N6" s="58" t="n"/>
      <c r="O6" s="58" t="n"/>
      <c r="P6" s="58" t="n"/>
      <c r="Q6" s="58" t="n"/>
      <c r="R6" s="89" t="inlineStr">
        <is>
          <t>0.0188 to 0.0199</t>
        </is>
      </c>
      <c r="S6" s="89" t="inlineStr">
        <is>
          <t>0.0038 to 0.0074</t>
        </is>
      </c>
      <c r="T6" s="89" t="inlineStr">
        <is>
          <t>-0.0133 to -0.0087</t>
        </is>
      </c>
      <c r="U6" s="89" t="n"/>
    </row>
    <row r="7" ht="19.5" customHeight="1" s="111">
      <c r="A7" s="55" t="inlineStr">
        <is>
          <t>STP-ELMCREEK 345KV</t>
        </is>
      </c>
      <c r="B7" s="56" t="inlineStr">
        <is>
          <t>🟢 Active</t>
        </is>
      </c>
      <c r="C7" s="63" t="n">
        <v>89021.72</v>
      </c>
      <c r="D7" s="58" t="inlineStr">
        <is>
          <t>HE22, HE21, HE23</t>
        </is>
      </c>
      <c r="E7" s="60" t="n">
        <v>0.042</v>
      </c>
      <c r="F7" s="60" t="n">
        <v>0.08</v>
      </c>
      <c r="G7" s="60" t="n">
        <v>0.079</v>
      </c>
      <c r="H7" s="60" t="n">
        <v>0.067</v>
      </c>
      <c r="I7" s="60" t="n">
        <v>0.075</v>
      </c>
      <c r="J7" s="60" t="n">
        <v>0.058</v>
      </c>
      <c r="K7" s="60" t="n">
        <v>0.037</v>
      </c>
      <c r="L7" s="60" t="n">
        <v>0.039</v>
      </c>
      <c r="M7" s="60" t="n">
        <v>0.052</v>
      </c>
      <c r="N7" s="62" t="n">
        <v>-0.09</v>
      </c>
      <c r="O7" s="60" t="n">
        <v>0.023</v>
      </c>
      <c r="P7" s="58" t="n"/>
      <c r="Q7" s="60" t="n">
        <v>0.02</v>
      </c>
      <c r="R7" s="89" t="inlineStr">
        <is>
          <t>0.0157 to 0.0215</t>
        </is>
      </c>
      <c r="S7" s="89" t="inlineStr">
        <is>
          <t>-0.0080 to 0.0011</t>
        </is>
      </c>
      <c r="T7" s="89" t="inlineStr">
        <is>
          <t>-0.0714 to 0.0561</t>
        </is>
      </c>
      <c r="U7" s="89" t="n"/>
    </row>
    <row r="8" ht="19.5" customHeight="1" s="111">
      <c r="A8" s="55" t="inlineStr">
        <is>
          <t>TREADWEL-YELWJCKT 138KV</t>
        </is>
      </c>
      <c r="B8" s="56" t="inlineStr">
        <is>
          <t>🟢 Active</t>
        </is>
      </c>
      <c r="C8" s="63" t="n">
        <v>99801.11</v>
      </c>
      <c r="D8" s="58" t="inlineStr">
        <is>
          <t>HE17, HE18, HE19</t>
        </is>
      </c>
      <c r="E8" s="58" t="n"/>
      <c r="F8" s="60" t="n">
        <v>0.015</v>
      </c>
      <c r="G8" s="60" t="n">
        <v>0.015</v>
      </c>
      <c r="H8" s="58" t="n"/>
      <c r="I8" s="58" t="n"/>
      <c r="J8" s="59" t="n">
        <v>0.46755</v>
      </c>
      <c r="K8" s="58" t="n"/>
      <c r="L8" s="58" t="n"/>
      <c r="M8" s="60" t="n">
        <v>0.015</v>
      </c>
      <c r="N8" s="58" t="n"/>
      <c r="O8" s="58" t="n"/>
      <c r="P8" s="58" t="n"/>
      <c r="Q8" s="58" t="n"/>
      <c r="R8" s="89" t="inlineStr">
        <is>
          <t>-0.0231 to -0.0025</t>
        </is>
      </c>
      <c r="S8" s="89" t="inlineStr">
        <is>
          <t>-0.0094 to -0.0050</t>
        </is>
      </c>
      <c r="T8" s="89" t="inlineStr">
        <is>
          <t>0.0100 to 0.0146</t>
        </is>
      </c>
      <c r="U8" s="89" t="n"/>
    </row>
    <row r="9" ht="19.5" customHeight="1" s="111">
      <c r="A9" s="55" t="inlineStr">
        <is>
          <t>LASCRUCE-MILO 138KV</t>
        </is>
      </c>
      <c r="B9" s="56" t="inlineStr">
        <is>
          <t>🟢 Active</t>
        </is>
      </c>
      <c r="C9" s="63" t="n">
        <v>59751.88</v>
      </c>
      <c r="D9" s="58" t="inlineStr">
        <is>
          <t>HE20, HE19, HE21</t>
        </is>
      </c>
      <c r="E9" s="58" t="n"/>
      <c r="F9" s="61" t="n">
        <v>0.17261</v>
      </c>
      <c r="G9" s="59" t="n">
        <v>0.28025</v>
      </c>
      <c r="H9" s="60" t="n">
        <v>0.07000000000000001</v>
      </c>
      <c r="I9" s="60" t="n">
        <v>0.09648</v>
      </c>
      <c r="J9" s="58" t="n"/>
      <c r="K9" s="58" t="n"/>
      <c r="L9" s="58" t="n"/>
      <c r="M9" s="62" t="n">
        <v>-0.08</v>
      </c>
      <c r="N9" s="58" t="n"/>
      <c r="O9" s="58" t="n"/>
      <c r="P9" s="58" t="n"/>
      <c r="Q9" s="58" t="n"/>
      <c r="R9" s="89" t="inlineStr">
        <is>
          <t>0.0060 to 0.0074</t>
        </is>
      </c>
      <c r="S9" s="89" t="inlineStr">
        <is>
          <t>0.0037 to 0.0045</t>
        </is>
      </c>
      <c r="T9" s="89" t="inlineStr">
        <is>
          <t>-0.0970 to 0.0124</t>
        </is>
      </c>
      <c r="U9" s="89" t="inlineStr">
        <is>
          <t>Falfurrias (Coastal): -0.0970</t>
        </is>
      </c>
    </row>
    <row r="10" ht="19.5" customHeight="1" s="111">
      <c r="A10" s="55" t="inlineStr">
        <is>
          <t>WESTEX</t>
        </is>
      </c>
      <c r="B10" s="56" t="inlineStr">
        <is>
          <t>🟢 Active</t>
        </is>
      </c>
      <c r="C10" s="63" t="n">
        <v>8701.73</v>
      </c>
      <c r="D10" s="58" t="inlineStr">
        <is>
          <t>HE20, HE19, HE12</t>
        </is>
      </c>
      <c r="E10" s="64" t="n">
        <v>-0.66</v>
      </c>
      <c r="F10" s="60" t="n">
        <v>0.07514</v>
      </c>
      <c r="G10" s="61" t="n">
        <v>0.13067</v>
      </c>
      <c r="H10" s="64" t="n">
        <v>-0.23</v>
      </c>
      <c r="I10" s="62" t="n">
        <v>-0.07000000000000001</v>
      </c>
      <c r="J10" s="64" t="n">
        <v>-0.3</v>
      </c>
      <c r="K10" s="64" t="n">
        <v>-0.718</v>
      </c>
      <c r="L10" s="64" t="n">
        <v>-0.716</v>
      </c>
      <c r="M10" s="61" t="n">
        <v>0.15332</v>
      </c>
      <c r="N10" s="61" t="n">
        <v>0.17937</v>
      </c>
      <c r="O10" s="64" t="n">
        <v>-0.513</v>
      </c>
      <c r="P10" s="61" t="n">
        <v>0.19396</v>
      </c>
      <c r="Q10" s="64" t="n">
        <v>-0.5580000000000001</v>
      </c>
      <c r="R10" s="90" t="inlineStr">
        <is>
          <t>-0.7100</t>
        </is>
      </c>
      <c r="S10" s="90" t="inlineStr">
        <is>
          <t>-0.0400 to 0.1970</t>
        </is>
      </c>
      <c r="T10" s="90" t="inlineStr">
        <is>
          <t>0.1500 to 0.1700</t>
        </is>
      </c>
      <c r="U10" s="90" t="n"/>
    </row>
    <row r="11" ht="19.5" customHeight="1" s="111">
      <c r="A11" s="55" t="inlineStr">
        <is>
          <t>LNGSW-PRLSW 345KV</t>
        </is>
      </c>
      <c r="B11" s="56" t="inlineStr">
        <is>
          <t>🟢 Active</t>
        </is>
      </c>
      <c r="C11" s="63" t="n">
        <v>56393.44</v>
      </c>
      <c r="D11" s="58" t="inlineStr">
        <is>
          <t>HE1, HE2, HE24</t>
        </is>
      </c>
      <c r="E11" s="60" t="n">
        <v>0.07000000000000001</v>
      </c>
      <c r="F11" s="62" t="n">
        <v>-0.02</v>
      </c>
      <c r="G11" s="62" t="n">
        <v>-0.02</v>
      </c>
      <c r="H11" s="60" t="n">
        <v>0.02</v>
      </c>
      <c r="I11" s="60" t="n">
        <v>0.02</v>
      </c>
      <c r="J11" s="62" t="n">
        <v>-0.02</v>
      </c>
      <c r="K11" s="59" t="n">
        <v>0.21329</v>
      </c>
      <c r="L11" s="59" t="n">
        <v>0.20412</v>
      </c>
      <c r="M11" s="62" t="n">
        <v>-0.02</v>
      </c>
      <c r="N11" s="62" t="n">
        <v>-0.02</v>
      </c>
      <c r="O11" s="62" t="n">
        <v>-0.02</v>
      </c>
      <c r="P11" s="62" t="n">
        <v>-0.02</v>
      </c>
      <c r="Q11" s="62" t="n">
        <v>-0.02</v>
      </c>
      <c r="R11" s="91" t="inlineStr">
        <is>
          <t>0.0196 to 0.2149</t>
        </is>
      </c>
      <c r="S11" s="91" t="inlineStr">
        <is>
          <t>-0.0464 to -0.0380</t>
        </is>
      </c>
      <c r="T11" s="91" t="inlineStr">
        <is>
          <t>-0.0130 to -0.0010</t>
        </is>
      </c>
      <c r="U11" s="91" t="n"/>
    </row>
    <row r="12" ht="19.5" customHeight="1" s="111">
      <c r="A12" s="55" t="inlineStr">
        <is>
          <t>E_PASP</t>
        </is>
      </c>
      <c r="B12" s="56" t="inlineStr">
        <is>
          <t>🟢 Active</t>
        </is>
      </c>
      <c r="C12" s="63" t="n">
        <v>84322.89999999999</v>
      </c>
      <c r="D12" s="58" t="inlineStr">
        <is>
          <t>HE20, HE19, HE18</t>
        </is>
      </c>
      <c r="E12" s="58" t="n"/>
      <c r="F12" s="62" t="n">
        <v>-0.08556</v>
      </c>
      <c r="G12" s="64" t="n">
        <v>-0.13778</v>
      </c>
      <c r="H12" s="58" t="n"/>
      <c r="I12" s="58" t="n"/>
      <c r="J12" s="60" t="n">
        <v>0.04</v>
      </c>
      <c r="K12" s="58" t="n"/>
      <c r="L12" s="58" t="n"/>
      <c r="M12" s="64" t="n">
        <v>-0.19625</v>
      </c>
      <c r="N12" s="58" t="n"/>
      <c r="O12" s="58" t="n"/>
      <c r="P12" s="58" t="n"/>
      <c r="Q12" s="58" t="n"/>
      <c r="R12" s="89" t="inlineStr">
        <is>
          <t>0.0081 to 0.0134</t>
        </is>
      </c>
      <c r="S12" s="89" t="inlineStr">
        <is>
          <t>-0.0036 to 0.0006</t>
        </is>
      </c>
      <c r="T12" s="89" t="inlineStr">
        <is>
          <t>-0.2306 to -0.0771</t>
        </is>
      </c>
      <c r="U12" s="89" t="n"/>
    </row>
    <row r="13" ht="19.5" customHeight="1" s="111">
      <c r="A13" s="55" t="inlineStr">
        <is>
          <t>NLARSW-PILONCIL 138KV</t>
        </is>
      </c>
      <c r="B13" s="56" t="inlineStr">
        <is>
          <t>🟢 Active</t>
        </is>
      </c>
      <c r="C13" s="63" t="n">
        <v>59654.53</v>
      </c>
      <c r="D13" s="58" t="inlineStr">
        <is>
          <t>HE24, HE1, HE2</t>
        </is>
      </c>
      <c r="E13" s="58" t="n"/>
      <c r="F13" s="59" t="n">
        <v>0.26</v>
      </c>
      <c r="G13" s="62" t="n">
        <v>-0.09</v>
      </c>
      <c r="H13" s="60" t="n">
        <v>0.08633</v>
      </c>
      <c r="I13" s="61" t="n">
        <v>0.12</v>
      </c>
      <c r="J13" s="58" t="n"/>
      <c r="K13" s="58" t="n"/>
      <c r="L13" s="58" t="n"/>
      <c r="M13" s="62" t="n">
        <v>-0.06</v>
      </c>
      <c r="N13" s="58" t="n"/>
      <c r="O13" s="58" t="n"/>
      <c r="P13" s="58" t="n"/>
      <c r="Q13" s="58" t="n"/>
      <c r="R13" s="89" t="inlineStr">
        <is>
          <t>0.0060</t>
        </is>
      </c>
      <c r="S13" s="89" t="inlineStr">
        <is>
          <t>0.0030 to 0.0040</t>
        </is>
      </c>
      <c r="T13" s="89" t="inlineStr">
        <is>
          <t>-0.0591 to 0.0017</t>
        </is>
      </c>
      <c r="U13" s="89" t="inlineStr">
        <is>
          <t>Falfurrias (Coastal): -0.0591</t>
        </is>
      </c>
    </row>
    <row r="14" ht="19.5" customHeight="1" s="111">
      <c r="A14" s="55" t="inlineStr">
        <is>
          <t>MGSES-CATSW 345KV</t>
        </is>
      </c>
      <c r="B14" s="56" t="inlineStr">
        <is>
          <t>🟢 Active</t>
        </is>
      </c>
      <c r="C14" s="63" t="n">
        <v>31442.57</v>
      </c>
      <c r="D14" s="58" t="inlineStr">
        <is>
          <t>HE23, HE19, HE20</t>
        </is>
      </c>
      <c r="E14" s="60" t="n">
        <v>0.1</v>
      </c>
      <c r="F14" s="58" t="n"/>
      <c r="G14" s="58" t="n"/>
      <c r="H14" s="58" t="n"/>
      <c r="I14" s="58" t="n"/>
      <c r="J14" s="58" t="n"/>
      <c r="K14" s="59" t="n">
        <v>0.3</v>
      </c>
      <c r="L14" s="59" t="n">
        <v>0.27037</v>
      </c>
      <c r="M14" s="58" t="n"/>
      <c r="N14" s="62" t="n">
        <v>-0.05</v>
      </c>
      <c r="O14" s="62" t="n">
        <v>-0.08</v>
      </c>
      <c r="P14" s="62" t="n">
        <v>-0.06</v>
      </c>
      <c r="Q14" s="62" t="n">
        <v>-0.07000000000000001</v>
      </c>
      <c r="R14" s="91" t="inlineStr">
        <is>
          <t>0.1990 to 0.2420</t>
        </is>
      </c>
      <c r="S14" s="91" t="inlineStr">
        <is>
          <t>-0.0660 to -0.0550</t>
        </is>
      </c>
      <c r="T14" s="91" t="inlineStr">
        <is>
          <t>-0.0150 to 0.0008</t>
        </is>
      </c>
      <c r="U14" s="91" t="n"/>
    </row>
    <row r="15" ht="19.5" customHeight="1" s="111">
      <c r="A15" s="55" t="inlineStr">
        <is>
          <t>LOBO-LARDVNTH 138KV</t>
        </is>
      </c>
      <c r="B15" s="56" t="inlineStr">
        <is>
          <t>🟢 Active</t>
        </is>
      </c>
      <c r="C15" s="63" t="n">
        <v>37951.02</v>
      </c>
      <c r="D15" s="58" t="inlineStr">
        <is>
          <t>HE22, HE19, HE21</t>
        </is>
      </c>
      <c r="E15" s="58" t="n"/>
      <c r="F15" s="59" t="n">
        <v>0.21816</v>
      </c>
      <c r="G15" s="59" t="n">
        <v>0.32386</v>
      </c>
      <c r="H15" s="60" t="n">
        <v>0.07000000000000001</v>
      </c>
      <c r="I15" s="60" t="n">
        <v>0.07000000000000001</v>
      </c>
      <c r="J15" s="58" t="n"/>
      <c r="K15" s="58" t="n"/>
      <c r="L15" s="58" t="n"/>
      <c r="M15" s="62" t="n">
        <v>-0.07000000000000001</v>
      </c>
      <c r="N15" s="58" t="n"/>
      <c r="O15" s="58" t="n"/>
      <c r="P15" s="58" t="n"/>
      <c r="Q15" s="58" t="n"/>
      <c r="R15" s="89" t="inlineStr">
        <is>
          <t>0.0020</t>
        </is>
      </c>
      <c r="S15" s="89" t="inlineStr">
        <is>
          <t>0.0001 to 0.0008</t>
        </is>
      </c>
      <c r="T15" s="89" t="inlineStr">
        <is>
          <t>-0.1030 to 0.0180</t>
        </is>
      </c>
      <c r="U15" s="89" t="inlineStr">
        <is>
          <t>Falfurrias (Coastal): -0.1030</t>
        </is>
      </c>
    </row>
    <row r="16" ht="19.5" customHeight="1" s="111">
      <c r="A16" s="55" t="inlineStr">
        <is>
          <t>ESCONDID-GANSO 138KV</t>
        </is>
      </c>
      <c r="B16" s="56" t="inlineStr">
        <is>
          <t>🟢 Active</t>
        </is>
      </c>
      <c r="C16" s="63" t="n">
        <v>33325.75</v>
      </c>
      <c r="D16" s="58" t="inlineStr">
        <is>
          <t>HE8, HE9, HE1</t>
        </is>
      </c>
      <c r="E16" s="60" t="n">
        <v>0.05</v>
      </c>
      <c r="F16" s="62" t="n">
        <v>-0.094</v>
      </c>
      <c r="G16" s="62" t="n">
        <v>-0.044</v>
      </c>
      <c r="H16" s="59" t="n">
        <v>0.4035</v>
      </c>
      <c r="I16" s="64" t="n">
        <v>-0.2614</v>
      </c>
      <c r="J16" s="58" t="n"/>
      <c r="K16" s="58" t="n"/>
      <c r="L16" s="58" t="n"/>
      <c r="M16" s="58" t="n"/>
      <c r="N16" s="58" t="n"/>
      <c r="O16" s="58" t="n"/>
      <c r="P16" s="58" t="n"/>
      <c r="Q16" s="58" t="n"/>
      <c r="R16" s="89" t="inlineStr">
        <is>
          <t>0.0170</t>
        </is>
      </c>
      <c r="S16" s="89" t="inlineStr">
        <is>
          <t>0.0020 to 0.0040</t>
        </is>
      </c>
      <c r="T16" s="89" t="inlineStr">
        <is>
          <t>-0.0190 to -0.0080</t>
        </is>
      </c>
      <c r="U16" s="89" t="n"/>
    </row>
    <row r="17" ht="19.5" customHeight="1" s="111">
      <c r="A17" s="55" t="inlineStr">
        <is>
          <t>BCESW-SNDSW 345KV</t>
        </is>
      </c>
      <c r="B17" s="56" t="inlineStr">
        <is>
          <t>🟢 Active</t>
        </is>
      </c>
      <c r="C17" s="63" t="n">
        <v>32240.3</v>
      </c>
      <c r="D17" s="58" t="inlineStr">
        <is>
          <t>HE17, HE18, HE16</t>
        </is>
      </c>
      <c r="E17" s="58" t="n"/>
      <c r="F17" s="60" t="n">
        <v>0.1</v>
      </c>
      <c r="G17" s="61" t="n">
        <v>0.11</v>
      </c>
      <c r="H17" s="60" t="n">
        <v>0.07000000000000001</v>
      </c>
      <c r="I17" s="60" t="n">
        <v>0.09</v>
      </c>
      <c r="J17" s="58" t="n"/>
      <c r="K17" s="62" t="n">
        <v>-0.04</v>
      </c>
      <c r="L17" s="62" t="n">
        <v>-0.04</v>
      </c>
      <c r="M17" s="61" t="n">
        <v>0.11</v>
      </c>
      <c r="N17" s="58" t="n"/>
      <c r="O17" s="62" t="n">
        <v>-0.06</v>
      </c>
      <c r="P17" s="62" t="n">
        <v>-0.074</v>
      </c>
      <c r="Q17" s="62" t="n">
        <v>-0.065</v>
      </c>
      <c r="R17" s="91" t="inlineStr">
        <is>
          <t>-0.0480 to -0.0350</t>
        </is>
      </c>
      <c r="S17" s="91" t="inlineStr">
        <is>
          <t>-0.0780 to -0.0740</t>
        </is>
      </c>
      <c r="T17" s="91" t="inlineStr">
        <is>
          <t>0.0600 to 0.1050</t>
        </is>
      </c>
      <c r="U17" s="91" t="n"/>
    </row>
    <row r="18" ht="19.5" customHeight="1" s="111">
      <c r="A18" s="55" t="inlineStr">
        <is>
          <t>LNGSW-CONSW 345KV</t>
        </is>
      </c>
      <c r="B18" s="56" t="inlineStr">
        <is>
          <t>🟢 Active</t>
        </is>
      </c>
      <c r="C18" s="63" t="n">
        <v>30989.79</v>
      </c>
      <c r="D18" s="58" t="inlineStr">
        <is>
          <t>HE1, HE2, HE24</t>
        </is>
      </c>
      <c r="E18" s="60" t="n">
        <v>0.08</v>
      </c>
      <c r="F18" s="58" t="n"/>
      <c r="G18" s="58" t="n"/>
      <c r="H18" s="58" t="n"/>
      <c r="I18" s="58" t="n"/>
      <c r="J18" s="58" t="n"/>
      <c r="K18" s="59" t="n">
        <v>0.213</v>
      </c>
      <c r="L18" s="61" t="n">
        <v>0.2</v>
      </c>
      <c r="M18" s="58" t="n"/>
      <c r="N18" s="58" t="n"/>
      <c r="O18" s="58" t="n"/>
      <c r="P18" s="58" t="n"/>
      <c r="Q18" s="58" t="n"/>
      <c r="R18" s="89" t="inlineStr">
        <is>
          <t>0.0800 to 0.2000</t>
        </is>
      </c>
      <c r="S18" s="89" t="inlineStr">
        <is>
          <t>-0.0220 to -0.0210</t>
        </is>
      </c>
      <c r="T18" s="89" t="inlineStr">
        <is>
          <t>-0.0220 to -0.0200</t>
        </is>
      </c>
      <c r="U18" s="89" t="n"/>
    </row>
    <row r="19" ht="19.5" customHeight="1" s="111">
      <c r="A19" s="55" t="inlineStr">
        <is>
          <t>YELWJCKT-FORTMA 138KV</t>
        </is>
      </c>
      <c r="B19" s="56" t="inlineStr">
        <is>
          <t>🟢 Active</t>
        </is>
      </c>
      <c r="C19" s="63" t="n">
        <v>18780.08</v>
      </c>
      <c r="D19" s="58" t="inlineStr">
        <is>
          <t>HE7, HE6, HE5</t>
        </is>
      </c>
      <c r="E19" s="58" t="n"/>
      <c r="F19" s="58" t="n"/>
      <c r="G19" s="58" t="n"/>
      <c r="H19" s="58" t="n"/>
      <c r="I19" s="58" t="n"/>
      <c r="J19" s="64" t="n">
        <v>-0.5</v>
      </c>
      <c r="K19" s="58" t="n"/>
      <c r="L19" s="58" t="n"/>
      <c r="M19" s="58" t="n"/>
      <c r="N19" s="58" t="n"/>
      <c r="O19" s="58" t="n"/>
      <c r="P19" s="58" t="n"/>
      <c r="Q19" s="58" t="n"/>
      <c r="R19" s="89" t="inlineStr">
        <is>
          <t>-0.0200</t>
        </is>
      </c>
      <c r="S19" s="89" t="inlineStr">
        <is>
          <t>—</t>
        </is>
      </c>
      <c r="T19" s="89" t="inlineStr">
        <is>
          <t>0.0150</t>
        </is>
      </c>
      <c r="U19" s="89" t="n"/>
    </row>
    <row r="20" ht="19.5" customHeight="1" s="111">
      <c r="A20" s="55" t="inlineStr">
        <is>
          <t>Legend:</t>
        </is>
      </c>
      <c r="B20" s="56" t="inlineStr">
        <is>
          <t>🟢 Active = detailed MCC analysis completed</t>
        </is>
      </c>
      <c r="C20" s="58" t="n">
        <v>0</v>
      </c>
      <c r="D20" s="58" t="n"/>
      <c r="E20" s="58" t="n"/>
      <c r="F20" s="58" t="n"/>
      <c r="G20" s="58" t="n"/>
      <c r="H20" s="58" t="n"/>
      <c r="I20" s="58" t="n"/>
      <c r="J20" s="58" t="n"/>
      <c r="K20" s="58" t="n"/>
      <c r="L20" s="58" t="n"/>
      <c r="M20" s="58" t="n"/>
      <c r="N20" s="58" t="n"/>
      <c r="O20" s="58" t="n"/>
      <c r="P20" s="58" t="n"/>
      <c r="Q20" s="58" t="n"/>
    </row>
    <row r="21" ht="19.5" customHeight="1" s="111">
      <c r="A21" s="65" t="inlineStr">
        <is>
          <t>ASHERTON-CATARINA 138KV</t>
        </is>
      </c>
      <c r="B21" s="66" t="inlineStr">
        <is>
          <t>🟡 Watch</t>
        </is>
      </c>
      <c r="C21" s="67" t="n">
        <v>23033.53</v>
      </c>
      <c r="D21" s="68" t="inlineStr">
        <is>
          <t>HE13, HE12, HE14</t>
        </is>
      </c>
      <c r="E21" s="68" t="n"/>
      <c r="F21" s="59" t="n">
        <v>0.7698199999999999</v>
      </c>
      <c r="G21" s="61" t="n">
        <v>0.17245</v>
      </c>
      <c r="H21" s="69" t="n">
        <v>-0.09</v>
      </c>
      <c r="I21" s="64" t="n">
        <v>-0.116</v>
      </c>
      <c r="J21" s="68" t="n"/>
      <c r="K21" s="68" t="n"/>
      <c r="L21" s="68" t="n"/>
      <c r="M21" s="68" t="n"/>
      <c r="N21" s="68" t="n"/>
      <c r="O21" s="68" t="n"/>
      <c r="P21" s="68" t="n"/>
      <c r="Q21" s="68" t="n"/>
      <c r="R21" s="92" t="inlineStr">
        <is>
          <t>—</t>
        </is>
      </c>
      <c r="S21" s="92" t="inlineStr">
        <is>
          <t>—</t>
        </is>
      </c>
      <c r="T21" s="92" t="inlineStr">
        <is>
          <t>0.0130</t>
        </is>
      </c>
      <c r="U21" s="92" t="n"/>
    </row>
    <row r="22" ht="19.5" customHeight="1" s="111">
      <c r="A22" s="65" t="inlineStr">
        <is>
          <t>MRVLY-ESTLD 69KV</t>
        </is>
      </c>
      <c r="B22" s="66" t="inlineStr">
        <is>
          <t>🟡 Watch</t>
        </is>
      </c>
      <c r="C22" s="70" t="n">
        <v>134306.39</v>
      </c>
      <c r="D22" s="68" t="inlineStr">
        <is>
          <t>HE20, HE19, HE21</t>
        </is>
      </c>
      <c r="E22" s="68" t="n"/>
      <c r="F22" s="68" t="n"/>
      <c r="G22" s="68" t="n"/>
      <c r="H22" s="68" t="n"/>
      <c r="I22" s="68" t="n"/>
      <c r="J22" s="68" t="n"/>
      <c r="K22" s="68" t="n"/>
      <c r="L22" s="68" t="n"/>
      <c r="M22" s="68" t="n"/>
      <c r="N22" s="68" t="n"/>
      <c r="O22" s="61" t="n">
        <v>0.17348</v>
      </c>
      <c r="P22" s="68" t="n"/>
      <c r="Q22" s="68" t="n"/>
      <c r="R22" s="92" t="inlineStr">
        <is>
          <t>0.0023 to 0.0026</t>
        </is>
      </c>
      <c r="S22" s="92" t="inlineStr">
        <is>
          <t>-0.0036 to -0.0016</t>
        </is>
      </c>
      <c r="T22" s="92" t="inlineStr">
        <is>
          <t>-0.0001 to 0.0004</t>
        </is>
      </c>
      <c r="U22" s="92" t="n"/>
    </row>
    <row r="23" ht="19.5" customHeight="1" s="111">
      <c r="A23" s="65" t="inlineStr">
        <is>
          <t>STP-WAP 345KV</t>
        </is>
      </c>
      <c r="B23" s="66" t="inlineStr">
        <is>
          <t>🟡 Watch</t>
        </is>
      </c>
      <c r="C23" s="67" t="n">
        <v>33834.4</v>
      </c>
      <c r="D23" s="68" t="inlineStr">
        <is>
          <t>HE17, HE16, HE13</t>
        </is>
      </c>
      <c r="E23" s="68" t="n"/>
      <c r="F23" s="69" t="n">
        <v>-0.08500000000000001</v>
      </c>
      <c r="G23" s="69" t="n">
        <v>-0.09462</v>
      </c>
      <c r="H23" s="69" t="n">
        <v>-0.05</v>
      </c>
      <c r="I23" s="69" t="n">
        <v>-0.07000000000000001</v>
      </c>
      <c r="J23" s="68" t="n"/>
      <c r="K23" s="68" t="n"/>
      <c r="L23" s="68" t="n"/>
      <c r="M23" s="64" t="n">
        <v>-0.11296</v>
      </c>
      <c r="N23" s="71" t="n">
        <v>0.09569999999999999</v>
      </c>
      <c r="O23" s="68" t="n"/>
      <c r="P23" s="68" t="n"/>
      <c r="Q23" s="68" t="n"/>
      <c r="R23" s="92" t="inlineStr">
        <is>
          <t>-0.0130</t>
        </is>
      </c>
      <c r="S23" s="92" t="inlineStr">
        <is>
          <t>0.0090 to 0.0200</t>
        </is>
      </c>
      <c r="T23" s="92" t="inlineStr">
        <is>
          <t>-0.1117 to -0.0890</t>
        </is>
      </c>
      <c r="U23" s="92" t="n"/>
    </row>
    <row r="24" ht="19.5" customHeight="1" s="111">
      <c r="A24" s="65" t="inlineStr">
        <is>
          <t>PALOUSE-WOLFCAMP 138KV</t>
        </is>
      </c>
      <c r="B24" s="66" t="inlineStr">
        <is>
          <t>🟡 Watch</t>
        </is>
      </c>
      <c r="C24" s="67" t="n">
        <v>49238.51</v>
      </c>
      <c r="D24" s="68" t="inlineStr">
        <is>
          <t>HE18, HE17, HE16</t>
        </is>
      </c>
      <c r="E24" s="59" t="n">
        <v>0.30569</v>
      </c>
      <c r="F24" s="68" t="n"/>
      <c r="G24" s="68" t="n"/>
      <c r="H24" s="68" t="n"/>
      <c r="I24" s="68" t="n"/>
      <c r="J24" s="68" t="n"/>
      <c r="K24" s="68" t="n"/>
      <c r="L24" s="68" t="n"/>
      <c r="M24" s="68" t="n"/>
      <c r="N24" s="68" t="n"/>
      <c r="O24" s="68" t="n"/>
      <c r="P24" s="68" t="n"/>
      <c r="Q24" s="68" t="n"/>
      <c r="R24" s="92" t="inlineStr">
        <is>
          <t>-0.0378 to -0.0171</t>
        </is>
      </c>
      <c r="S24" s="92" t="inlineStr">
        <is>
          <t>-0.0004 to 0.0004</t>
        </is>
      </c>
      <c r="T24" s="92" t="inlineStr">
        <is>
          <t>0.0030 to 0.0050</t>
        </is>
      </c>
      <c r="U24" s="92" t="n"/>
    </row>
    <row r="25" ht="19.5" customHeight="1" s="111">
      <c r="A25" s="65" t="inlineStr">
        <is>
          <t>LPLMK-LPLNE 115KV</t>
        </is>
      </c>
      <c r="B25" s="66" t="inlineStr">
        <is>
          <t>🟡 Watch</t>
        </is>
      </c>
      <c r="C25" s="70" t="n">
        <v>266579.96</v>
      </c>
      <c r="D25" s="68" t="inlineStr">
        <is>
          <t>HE21, HE22, HE20</t>
        </is>
      </c>
      <c r="E25" s="71" t="n">
        <v>0.01044</v>
      </c>
      <c r="F25" s="68" t="n"/>
      <c r="G25" s="68" t="n"/>
      <c r="H25" s="71" t="n">
        <v>0.00574</v>
      </c>
      <c r="I25" s="68" t="n"/>
      <c r="J25" s="68" t="n"/>
      <c r="K25" s="71" t="n">
        <v>0.01594</v>
      </c>
      <c r="L25" s="71" t="n">
        <v>0.01487</v>
      </c>
      <c r="M25" s="68" t="n"/>
      <c r="N25" s="68" t="n"/>
      <c r="O25" s="68" t="n"/>
      <c r="P25" s="68" t="n"/>
      <c r="Q25" s="68" t="n"/>
      <c r="R25" s="92" t="inlineStr">
        <is>
          <t>0.0146 to 0.0161</t>
        </is>
      </c>
      <c r="S25" s="92" t="inlineStr">
        <is>
          <t>-0.0063 to -0.0048</t>
        </is>
      </c>
      <c r="T25" s="92" t="inlineStr">
        <is>
          <t>-0.0016 to -0.0004</t>
        </is>
      </c>
      <c r="U25" s="92" t="n"/>
    </row>
    <row r="26" ht="19.5" customHeight="1" s="111">
      <c r="A26" s="65" t="inlineStr">
        <is>
          <t>CRDSW-OLNEY 69KV</t>
        </is>
      </c>
      <c r="B26" s="66" t="inlineStr">
        <is>
          <t>🟡 Watch</t>
        </is>
      </c>
      <c r="C26" s="67" t="n">
        <v>14861.86</v>
      </c>
      <c r="D26" s="68" t="inlineStr">
        <is>
          <t>HE17, HE18, HE16</t>
        </is>
      </c>
      <c r="E26" s="68" t="n"/>
      <c r="F26" s="68" t="n"/>
      <c r="G26" s="68" t="n"/>
      <c r="H26" s="68" t="n"/>
      <c r="I26" s="68" t="n"/>
      <c r="J26" s="68" t="n"/>
      <c r="K26" s="68" t="n"/>
      <c r="L26" s="68" t="n"/>
      <c r="M26" s="68" t="n"/>
      <c r="N26" s="68" t="n"/>
      <c r="O26" s="68" t="n"/>
      <c r="P26" s="68" t="n"/>
      <c r="Q26" s="59" t="n">
        <v>0.78682</v>
      </c>
      <c r="R26" s="93" t="inlineStr">
        <is>
          <t>—</t>
        </is>
      </c>
      <c r="S26" s="93" t="inlineStr">
        <is>
          <t>0.0350</t>
        </is>
      </c>
      <c r="T26" s="93" t="inlineStr">
        <is>
          <t>—</t>
        </is>
      </c>
      <c r="U26" s="93" t="inlineStr">
        <is>
          <t>Mineral Wells (North): +0.0350</t>
        </is>
      </c>
    </row>
    <row r="27" ht="19.5" customHeight="1" s="111">
      <c r="A27" s="65" t="inlineStr">
        <is>
          <t>HONDOCK-DEVINESW 69KV</t>
        </is>
      </c>
      <c r="B27" s="66" t="inlineStr">
        <is>
          <t>🟡 Watch</t>
        </is>
      </c>
      <c r="C27" s="67" t="n">
        <v>57961.31</v>
      </c>
      <c r="D27" s="68" t="inlineStr">
        <is>
          <t>HE16, HE18, HE17</t>
        </is>
      </c>
      <c r="E27" s="68" t="n"/>
      <c r="F27" s="69" t="n">
        <v>-0.05</v>
      </c>
      <c r="G27" s="68" t="n"/>
      <c r="H27" s="69" t="n">
        <v>-0.06</v>
      </c>
      <c r="I27" s="69" t="n">
        <v>-0.064</v>
      </c>
      <c r="J27" s="68" t="n"/>
      <c r="K27" s="68" t="n"/>
      <c r="L27" s="68" t="n"/>
      <c r="M27" s="68" t="n"/>
      <c r="N27" s="68" t="n"/>
      <c r="O27" s="68" t="n"/>
      <c r="P27" s="68" t="n"/>
      <c r="Q27" s="68" t="n"/>
      <c r="R27" s="92" t="inlineStr">
        <is>
          <t>—</t>
        </is>
      </c>
      <c r="S27" s="92" t="inlineStr">
        <is>
          <t>—</t>
        </is>
      </c>
      <c r="T27" s="92" t="inlineStr">
        <is>
          <t>—</t>
        </is>
      </c>
      <c r="U27" s="92" t="n"/>
    </row>
    <row r="28" ht="19.5" customHeight="1" s="111">
      <c r="A28" s="65" t="inlineStr">
        <is>
          <t>I_FW_N</t>
        </is>
      </c>
      <c r="B28" s="66" t="inlineStr">
        <is>
          <t>🟡 Watch</t>
        </is>
      </c>
      <c r="C28" s="67" t="n">
        <v>20645.72</v>
      </c>
      <c r="D28" s="68" t="inlineStr">
        <is>
          <t>HE5, HE6, HE4</t>
        </is>
      </c>
      <c r="E28" s="71" t="n">
        <v>0.09</v>
      </c>
      <c r="F28" s="68" t="n"/>
      <c r="G28" s="68" t="n"/>
      <c r="H28" s="68" t="n"/>
      <c r="I28" s="68" t="n"/>
      <c r="J28" s="68" t="n"/>
      <c r="K28" s="61" t="n">
        <v>0.1566</v>
      </c>
      <c r="L28" s="61" t="n">
        <v>0.1374</v>
      </c>
      <c r="M28" s="68" t="n"/>
      <c r="N28" s="68" t="n"/>
      <c r="O28" s="68" t="n"/>
      <c r="P28" s="69" t="n">
        <v>-0.04</v>
      </c>
      <c r="Q28" s="69" t="n">
        <v>-0.06</v>
      </c>
      <c r="R28" s="94" t="inlineStr">
        <is>
          <t>0.1200 to 0.1580</t>
        </is>
      </c>
      <c r="S28" s="94" t="inlineStr">
        <is>
          <t>-0.0480 to -0.0410</t>
        </is>
      </c>
      <c r="T28" s="94" t="inlineStr">
        <is>
          <t>—</t>
        </is>
      </c>
      <c r="U28" s="94" t="n"/>
    </row>
    <row r="29" ht="19.5" customHeight="1" s="111">
      <c r="A29" s="65" t="inlineStr">
        <is>
          <t>CARVER-TINSLEY 138KV</t>
        </is>
      </c>
      <c r="B29" s="66" t="inlineStr">
        <is>
          <t>🟡 Watch</t>
        </is>
      </c>
      <c r="C29" s="67" t="n">
        <v>14200.33</v>
      </c>
      <c r="D29" s="68" t="inlineStr">
        <is>
          <t>HE21, HE20, HE22</t>
        </is>
      </c>
      <c r="E29" s="69" t="n">
        <v>-0.07000000000000001</v>
      </c>
      <c r="F29" s="71" t="n">
        <v>0.09</v>
      </c>
      <c r="G29" s="68" t="n"/>
      <c r="H29" s="59" t="n">
        <v>0.32323</v>
      </c>
      <c r="I29" s="59" t="n">
        <v>0.21</v>
      </c>
      <c r="J29" s="68" t="n"/>
      <c r="K29" s="68" t="n"/>
      <c r="L29" s="68" t="n"/>
      <c r="M29" s="68" t="n"/>
      <c r="N29" s="68" t="n"/>
      <c r="O29" s="68" t="n"/>
      <c r="P29" s="68" t="n"/>
      <c r="Q29" s="68" t="n"/>
      <c r="R29" s="92" t="inlineStr">
        <is>
          <t>-0.0150</t>
        </is>
      </c>
      <c r="S29" s="92" t="inlineStr">
        <is>
          <t>—</t>
        </is>
      </c>
      <c r="T29" s="92" t="inlineStr">
        <is>
          <t>0.0150 to 0.0230</t>
        </is>
      </c>
      <c r="U29" s="92" t="n"/>
    </row>
    <row r="30" ht="19.5" customHeight="1" s="111">
      <c r="A30" s="65" t="inlineStr">
        <is>
          <t>BIG_FOOT-PLEASANT 138KV</t>
        </is>
      </c>
      <c r="B30" s="66" t="inlineStr">
        <is>
          <t>🟡 Watch</t>
        </is>
      </c>
      <c r="C30" s="67" t="n">
        <v>26156.41</v>
      </c>
      <c r="D30" s="68" t="inlineStr">
        <is>
          <t>HE16, HE13, HE15</t>
        </is>
      </c>
      <c r="E30" s="68" t="n"/>
      <c r="F30" s="69" t="n">
        <v>-0.092</v>
      </c>
      <c r="G30" s="69" t="n">
        <v>-0.0534</v>
      </c>
      <c r="H30" s="69" t="n">
        <v>-0.08799999999999999</v>
      </c>
      <c r="I30" s="69" t="n">
        <v>-0.098</v>
      </c>
      <c r="J30" s="68" t="n"/>
      <c r="K30" s="68" t="n"/>
      <c r="L30" s="68" t="n"/>
      <c r="M30" s="68" t="n"/>
      <c r="N30" s="68" t="n"/>
      <c r="O30" s="68" t="n"/>
      <c r="P30" s="68" t="n"/>
      <c r="Q30" s="68" t="n"/>
      <c r="R30" s="92" t="inlineStr">
        <is>
          <t>—</t>
        </is>
      </c>
      <c r="S30" s="92" t="inlineStr">
        <is>
          <t>—</t>
        </is>
      </c>
      <c r="T30" s="92" t="inlineStr">
        <is>
          <t>-0.0100</t>
        </is>
      </c>
      <c r="U30" s="92" t="n"/>
    </row>
    <row r="31" ht="19.5" customHeight="1" s="111">
      <c r="A31" s="65" t="inlineStr">
        <is>
          <t>MASN-KATEMCY 69KV</t>
        </is>
      </c>
      <c r="B31" s="66" t="inlineStr">
        <is>
          <t>🟡 Watch</t>
        </is>
      </c>
      <c r="C31" s="67" t="n">
        <v>32915.57</v>
      </c>
      <c r="D31" s="68" t="inlineStr">
        <is>
          <t>HE19, HE18, HE23</t>
        </is>
      </c>
      <c r="E31" s="68" t="n"/>
      <c r="F31" s="68" t="n"/>
      <c r="G31" s="68" t="n"/>
      <c r="H31" s="68" t="n"/>
      <c r="I31" s="68" t="n"/>
      <c r="J31" s="59" t="n">
        <v>0.251</v>
      </c>
      <c r="K31" s="68" t="n"/>
      <c r="L31" s="68" t="n"/>
      <c r="M31" s="68" t="n"/>
      <c r="N31" s="68" t="n"/>
      <c r="O31" s="68" t="n"/>
      <c r="P31" s="68" t="n"/>
      <c r="Q31" s="68" t="n"/>
      <c r="R31" s="92" t="inlineStr">
        <is>
          <t>0.0040</t>
        </is>
      </c>
      <c r="S31" s="92" t="inlineStr">
        <is>
          <t>0.0005 to 0.0010</t>
        </is>
      </c>
      <c r="T31" s="92" t="inlineStr">
        <is>
          <t>-0.0030 to -0.0020</t>
        </is>
      </c>
      <c r="U31" s="92" t="n"/>
    </row>
    <row r="32" ht="19.5" customHeight="1" s="111">
      <c r="A32" s="65" t="inlineStr">
        <is>
          <t>KLNSW-HHSTH 138KV</t>
        </is>
      </c>
      <c r="B32" s="66" t="inlineStr">
        <is>
          <t>🟡 Watch</t>
        </is>
      </c>
      <c r="C32" s="67" t="n">
        <v>42121</v>
      </c>
      <c r="D32" s="68" t="inlineStr">
        <is>
          <t>HE22, HE23, HE2</t>
        </is>
      </c>
      <c r="E32" s="69" t="n">
        <v>-0.05</v>
      </c>
      <c r="F32" s="68" t="n"/>
      <c r="G32" s="68" t="n"/>
      <c r="H32" s="68" t="n"/>
      <c r="I32" s="68" t="n"/>
      <c r="J32" s="68" t="n"/>
      <c r="K32" s="69" t="n">
        <v>-0.048</v>
      </c>
      <c r="L32" s="69" t="n">
        <v>-0.048</v>
      </c>
      <c r="M32" s="68" t="n"/>
      <c r="N32" s="68" t="n"/>
      <c r="O32" s="69" t="n">
        <v>-0.04</v>
      </c>
      <c r="P32" s="68" t="n"/>
      <c r="Q32" s="68" t="n"/>
      <c r="R32" s="92" t="inlineStr">
        <is>
          <t>-0.0480</t>
        </is>
      </c>
      <c r="S32" s="92" t="inlineStr">
        <is>
          <t>-0.0190 to 0.0010</t>
        </is>
      </c>
      <c r="T32" s="92" t="inlineStr">
        <is>
          <t>0.0188 to 0.0200</t>
        </is>
      </c>
      <c r="U32" s="92" t="n"/>
    </row>
    <row r="33" ht="19.5" customHeight="1" s="111">
      <c r="A33" s="65" t="inlineStr">
        <is>
          <t>SAMSW-VENSW 345KV</t>
        </is>
      </c>
      <c r="B33" s="66" t="inlineStr">
        <is>
          <t>🟡 Watch</t>
        </is>
      </c>
      <c r="C33" s="67" t="n">
        <v>20889.84</v>
      </c>
      <c r="D33" s="68" t="inlineStr">
        <is>
          <t>HE11, HE12, HE13</t>
        </is>
      </c>
      <c r="E33" s="68" t="n"/>
      <c r="F33" s="69" t="n">
        <v>-0.053</v>
      </c>
      <c r="G33" s="69" t="n">
        <v>-0.056</v>
      </c>
      <c r="H33" s="68" t="n"/>
      <c r="I33" s="69" t="n">
        <v>-0.044</v>
      </c>
      <c r="J33" s="68" t="n"/>
      <c r="K33" s="68" t="n"/>
      <c r="L33" s="68" t="n"/>
      <c r="M33" s="69" t="n">
        <v>-0.056</v>
      </c>
      <c r="N33" s="69" t="n">
        <v>-0.04</v>
      </c>
      <c r="O33" s="68" t="n"/>
      <c r="P33" s="71" t="n">
        <v>0.053</v>
      </c>
      <c r="Q33" s="71" t="n">
        <v>0.05</v>
      </c>
      <c r="R33" s="92" t="inlineStr">
        <is>
          <t>—</t>
        </is>
      </c>
      <c r="S33" s="92" t="inlineStr">
        <is>
          <t>0.0530 to 0.0820</t>
        </is>
      </c>
      <c r="T33" s="92" t="inlineStr">
        <is>
          <t>-0.0570 to -0.0490</t>
        </is>
      </c>
      <c r="U33" s="92" t="n"/>
    </row>
    <row r="34" ht="19.5" customHeight="1" s="111">
      <c r="A34" s="65" t="inlineStr">
        <is>
          <t>MADDUX-TREADWEL 138KV</t>
        </is>
      </c>
      <c r="B34" s="66" t="inlineStr">
        <is>
          <t>🟡 Watch</t>
        </is>
      </c>
      <c r="C34" s="67" t="n">
        <v>18278.19</v>
      </c>
      <c r="D34" s="68" t="inlineStr">
        <is>
          <t>HE17, HE18, HE16</t>
        </is>
      </c>
      <c r="E34" s="68" t="n"/>
      <c r="F34" s="68" t="n"/>
      <c r="G34" s="68" t="n"/>
      <c r="H34" s="68" t="n"/>
      <c r="I34" s="68" t="n"/>
      <c r="J34" s="59" t="n">
        <v>0.39252</v>
      </c>
      <c r="K34" s="68" t="n"/>
      <c r="L34" s="68" t="n"/>
      <c r="M34" s="68" t="n"/>
      <c r="N34" s="68" t="n"/>
      <c r="O34" s="68" t="n"/>
      <c r="P34" s="68" t="n"/>
      <c r="Q34" s="68" t="n"/>
      <c r="R34" s="92" t="inlineStr">
        <is>
          <t>-0.0350</t>
        </is>
      </c>
      <c r="S34" s="92" t="inlineStr">
        <is>
          <t>—</t>
        </is>
      </c>
      <c r="T34" s="92" t="inlineStr">
        <is>
          <t>—</t>
        </is>
      </c>
      <c r="U34" s="92" t="n"/>
    </row>
    <row r="35" ht="19.5" customHeight="1" s="111">
      <c r="A35" s="65" t="inlineStr">
        <is>
          <t>PRLSW-CONSW 345KV</t>
        </is>
      </c>
      <c r="B35" s="66" t="inlineStr">
        <is>
          <t>🟡 Watch</t>
        </is>
      </c>
      <c r="C35" s="67" t="n">
        <v>8553.5</v>
      </c>
      <c r="D35" s="68" t="inlineStr">
        <is>
          <t>HE2, HE4, HE1</t>
        </is>
      </c>
      <c r="E35" s="61" t="n">
        <v>0.11076</v>
      </c>
      <c r="F35" s="68" t="n"/>
      <c r="G35" s="68" t="n"/>
      <c r="H35" s="71" t="n">
        <v>0.0458</v>
      </c>
      <c r="I35" s="68" t="n"/>
      <c r="J35" s="68" t="n"/>
      <c r="K35" s="59" t="n">
        <v>0.29043</v>
      </c>
      <c r="L35" s="59" t="n">
        <v>0.2337</v>
      </c>
      <c r="M35" s="68" t="n"/>
      <c r="N35" s="68" t="n"/>
      <c r="O35" s="69" t="n">
        <v>-0.0525</v>
      </c>
      <c r="P35" s="69" t="n">
        <v>-0.041</v>
      </c>
      <c r="Q35" s="69" t="n">
        <v>-0.05</v>
      </c>
      <c r="R35" s="94" t="inlineStr">
        <is>
          <t>0.1350 to 0.2460</t>
        </is>
      </c>
      <c r="S35" s="94" t="inlineStr">
        <is>
          <t>-0.0460 to -0.0410</t>
        </is>
      </c>
      <c r="T35" s="94" t="inlineStr">
        <is>
          <t>-0.0270 to -0.0190</t>
        </is>
      </c>
      <c r="U35" s="94" t="n"/>
    </row>
    <row r="36" ht="19.5" customHeight="1" s="111">
      <c r="A36" s="65" t="inlineStr">
        <is>
          <t>MAXWELL-HAMILTON 138KV</t>
        </is>
      </c>
      <c r="B36" s="66" t="inlineStr">
        <is>
          <t>🟡 Watch</t>
        </is>
      </c>
      <c r="C36" s="67" t="n">
        <v>14519.92</v>
      </c>
      <c r="D36" s="68" t="inlineStr">
        <is>
          <t>HE2, HE24, HE1</t>
        </is>
      </c>
      <c r="E36" s="69" t="n">
        <v>-0.05</v>
      </c>
      <c r="F36" s="71" t="n">
        <v>0.05</v>
      </c>
      <c r="G36" s="68" t="n"/>
      <c r="H36" s="59" t="n">
        <v>0.22977</v>
      </c>
      <c r="I36" s="61" t="n">
        <v>0.1432</v>
      </c>
      <c r="J36" s="68" t="n"/>
      <c r="K36" s="68" t="n"/>
      <c r="L36" s="68" t="n"/>
      <c r="M36" s="68" t="n"/>
      <c r="N36" s="68" t="n"/>
      <c r="O36" s="68" t="n"/>
      <c r="P36" s="68" t="n"/>
      <c r="Q36" s="68" t="n"/>
      <c r="R36" s="92" t="inlineStr">
        <is>
          <t>-0.0130</t>
        </is>
      </c>
      <c r="S36" s="92" t="inlineStr">
        <is>
          <t>—</t>
        </is>
      </c>
      <c r="T36" s="92" t="inlineStr">
        <is>
          <t>0.0120 to 0.0150</t>
        </is>
      </c>
      <c r="U36" s="92" t="n"/>
    </row>
    <row r="37" ht="19.5" customHeight="1" s="111">
      <c r="A37" s="65" t="inlineStr">
        <is>
          <t>LNGSW-CONSW 345KV</t>
        </is>
      </c>
      <c r="B37" s="66" t="inlineStr">
        <is>
          <t>🟡 Watch</t>
        </is>
      </c>
      <c r="C37" s="67" t="n">
        <v>30989.79</v>
      </c>
      <c r="D37" s="68" t="inlineStr">
        <is>
          <t>HE1, HE2, HE24</t>
        </is>
      </c>
      <c r="E37" s="71" t="n">
        <v>0.08</v>
      </c>
      <c r="F37" s="68" t="n"/>
      <c r="G37" s="68" t="n"/>
      <c r="H37" s="68" t="n"/>
      <c r="I37" s="68" t="n"/>
      <c r="J37" s="68" t="n"/>
      <c r="K37" s="59" t="n">
        <v>0.213</v>
      </c>
      <c r="L37" s="61" t="n">
        <v>0.2</v>
      </c>
      <c r="M37" s="68" t="n"/>
      <c r="N37" s="68" t="n"/>
      <c r="O37" s="68" t="n"/>
      <c r="P37" s="68" t="n"/>
      <c r="Q37" s="68" t="n"/>
      <c r="R37" s="92" t="inlineStr">
        <is>
          <t>0.0800 to 0.2000</t>
        </is>
      </c>
      <c r="S37" s="92" t="inlineStr">
        <is>
          <t>-0.0220 to -0.0210</t>
        </is>
      </c>
      <c r="T37" s="92" t="inlineStr">
        <is>
          <t>-0.0220 to -0.0200</t>
        </is>
      </c>
      <c r="U37" s="92" t="n"/>
    </row>
    <row r="38" ht="19.5" customHeight="1" s="111">
      <c r="A38" s="65" t="inlineStr">
        <is>
          <t>SONR-ATSO 69KV</t>
        </is>
      </c>
      <c r="B38" s="66" t="inlineStr">
        <is>
          <t>🟡 Watch</t>
        </is>
      </c>
      <c r="C38" s="67" t="n">
        <v>93639.82000000001</v>
      </c>
      <c r="D38" s="68" t="inlineStr">
        <is>
          <t>HE1, HE3, HE2</t>
        </is>
      </c>
      <c r="E38" s="71" t="n">
        <v>0.05</v>
      </c>
      <c r="F38" s="68" t="n"/>
      <c r="G38" s="68" t="n"/>
      <c r="H38" s="71" t="n">
        <v>0.014</v>
      </c>
      <c r="I38" s="68" t="n"/>
      <c r="J38" s="68" t="n"/>
      <c r="K38" s="68" t="n"/>
      <c r="L38" s="68" t="n"/>
      <c r="M38" s="68" t="n"/>
      <c r="N38" s="68" t="n"/>
      <c r="O38" s="68" t="n"/>
      <c r="P38" s="68" t="n"/>
      <c r="Q38" s="68" t="n"/>
      <c r="R38" s="92" t="inlineStr">
        <is>
          <t>0.0026 to 0.0073</t>
        </is>
      </c>
      <c r="S38" s="92" t="inlineStr">
        <is>
          <t>0.0001 to 0.0002</t>
        </is>
      </c>
      <c r="T38" s="92" t="inlineStr">
        <is>
          <t>0.0005 to 0.0010</t>
        </is>
      </c>
      <c r="U38" s="92" t="n"/>
    </row>
    <row r="39" ht="19.5" customHeight="1" s="111">
      <c r="A39" s="65" t="inlineStr">
        <is>
          <t>LAKENASW-SAMATHIS 69KV</t>
        </is>
      </c>
      <c r="B39" s="66" t="inlineStr">
        <is>
          <t>🟡 Watch</t>
        </is>
      </c>
      <c r="C39" s="67" t="n">
        <v>79252.55</v>
      </c>
      <c r="D39" s="68" t="inlineStr">
        <is>
          <t>HE1, HE4, HE24</t>
        </is>
      </c>
      <c r="E39" s="71" t="n">
        <v>0.07252</v>
      </c>
      <c r="F39" s="68" t="n"/>
      <c r="G39" s="68" t="n"/>
      <c r="H39" s="68" t="n"/>
      <c r="I39" s="68" t="n"/>
      <c r="J39" s="68" t="n"/>
      <c r="K39" s="68" t="n"/>
      <c r="L39" s="68" t="n"/>
      <c r="M39" s="68" t="n"/>
      <c r="N39" s="68" t="n"/>
      <c r="O39" s="68" t="n"/>
      <c r="P39" s="68" t="n"/>
      <c r="Q39" s="68" t="n"/>
      <c r="R39" s="92" t="inlineStr">
        <is>
          <t>0.0020 to 0.0080</t>
        </is>
      </c>
      <c r="S39" s="92" t="inlineStr">
        <is>
          <t>-0.0010</t>
        </is>
      </c>
      <c r="T39" s="92" t="inlineStr">
        <is>
          <t>-0.0008 to -0.0004</t>
        </is>
      </c>
      <c r="U39" s="92" t="n"/>
    </row>
    <row r="40" ht="19.5" customHeight="1" s="111">
      <c r="A40" s="65" t="inlineStr">
        <is>
          <t>BRUNI 138KV</t>
        </is>
      </c>
      <c r="B40" s="66" t="inlineStr">
        <is>
          <t>🟡 Watch</t>
        </is>
      </c>
      <c r="C40" s="70" t="n">
        <v>263224.34</v>
      </c>
      <c r="D40" s="68" t="inlineStr">
        <is>
          <t>HE23, HE22, HE21</t>
        </is>
      </c>
      <c r="E40" s="68" t="n"/>
      <c r="F40" s="71" t="n">
        <v>0.01044</v>
      </c>
      <c r="G40" s="68" t="n"/>
      <c r="H40" s="68" t="n"/>
      <c r="I40" s="71" t="n">
        <v>0.01044</v>
      </c>
      <c r="J40" s="68" t="n"/>
      <c r="K40" s="68" t="n"/>
      <c r="L40" s="68" t="n"/>
      <c r="M40" s="68" t="n"/>
      <c r="N40" s="68" t="n"/>
      <c r="O40" s="68" t="n"/>
      <c r="P40" s="68" t="n"/>
      <c r="Q40" s="68" t="n"/>
      <c r="R40" s="92" t="inlineStr">
        <is>
          <t>0.0008 to 0.0009</t>
        </is>
      </c>
      <c r="S40" s="92" t="inlineStr">
        <is>
          <t>0.0005 to 0.0006</t>
        </is>
      </c>
      <c r="T40" s="92" t="inlineStr">
        <is>
          <t>-0.0264 to 0.0018</t>
        </is>
      </c>
      <c r="U40" s="92" t="n"/>
    </row>
    <row r="41" ht="19.5" customHeight="1" s="111">
      <c r="A41" s="65" t="inlineStr">
        <is>
          <t>CRTRVLLE-HILGR 138KV</t>
        </is>
      </c>
      <c r="B41" s="66" t="inlineStr">
        <is>
          <t>🟡 Watch</t>
        </is>
      </c>
      <c r="C41" s="67" t="n">
        <v>66977.23</v>
      </c>
      <c r="D41" s="68" t="inlineStr">
        <is>
          <t>HE1, HE2, HE23</t>
        </is>
      </c>
      <c r="E41" s="68" t="n"/>
      <c r="F41" s="68" t="n"/>
      <c r="G41" s="68" t="n"/>
      <c r="H41" s="68" t="n"/>
      <c r="I41" s="68" t="n"/>
      <c r="J41" s="68" t="n"/>
      <c r="K41" s="71" t="n">
        <v>0.04</v>
      </c>
      <c r="L41" s="71" t="n">
        <v>0.04</v>
      </c>
      <c r="M41" s="68" t="n"/>
      <c r="N41" s="68" t="n"/>
      <c r="O41" s="68" t="n"/>
      <c r="P41" s="68" t="n"/>
      <c r="Q41" s="68" t="n"/>
      <c r="R41" s="92" t="inlineStr">
        <is>
          <t>0.0363 to 0.1360</t>
        </is>
      </c>
      <c r="S41" s="92" t="inlineStr">
        <is>
          <t>-0.0069 to -0.0066</t>
        </is>
      </c>
      <c r="T41" s="92" t="inlineStr">
        <is>
          <t>-0.0050 to -0.0040</t>
        </is>
      </c>
      <c r="U41" s="92" t="inlineStr">
        <is>
          <t>Garden City (West): +0.1360</t>
        </is>
      </c>
    </row>
    <row r="42" ht="19.5" customHeight="1" s="111">
      <c r="A42" s="65" t="inlineStr">
        <is>
          <t>ARGYL-LWSVH 138KV</t>
        </is>
      </c>
      <c r="B42" s="66" t="inlineStr">
        <is>
          <t>🟡 Watch</t>
        </is>
      </c>
      <c r="C42" s="70" t="n">
        <v>359570.46</v>
      </c>
      <c r="D42" s="68" t="inlineStr">
        <is>
          <t>HE1, HE2, HE24</t>
        </is>
      </c>
      <c r="E42" s="68" t="n"/>
      <c r="F42" s="68" t="n"/>
      <c r="G42" s="68" t="n"/>
      <c r="H42" s="68" t="n"/>
      <c r="I42" s="68" t="n"/>
      <c r="J42" s="68" t="n"/>
      <c r="K42" s="68" t="n"/>
      <c r="L42" s="68" t="n"/>
      <c r="M42" s="68" t="n"/>
      <c r="N42" s="68" t="n"/>
      <c r="O42" s="68" t="n"/>
      <c r="P42" s="71" t="n">
        <v>0.01469</v>
      </c>
      <c r="Q42" s="68" t="n"/>
      <c r="R42" s="92" t="inlineStr">
        <is>
          <t>-0.0137 to -0.0121</t>
        </is>
      </c>
      <c r="S42" s="92" t="inlineStr">
        <is>
          <t>-0.0278 to 0.0208</t>
        </is>
      </c>
      <c r="T42" s="92" t="inlineStr">
        <is>
          <t>0.0003 to 0.0029</t>
        </is>
      </c>
      <c r="U42" s="92" t="n"/>
    </row>
    <row r="43" ht="19.5" customHeight="1" s="111">
      <c r="A43" s="65" t="inlineStr">
        <is>
          <t>NORTMC-CROSSOVE 138KV</t>
        </is>
      </c>
      <c r="B43" s="66" t="inlineStr">
        <is>
          <t>🟡 Watch</t>
        </is>
      </c>
      <c r="C43" s="67" t="n">
        <v>8837.719999999999</v>
      </c>
      <c r="D43" s="68" t="inlineStr">
        <is>
          <t>HE19, HE17, HE16</t>
        </is>
      </c>
      <c r="E43" s="59" t="n">
        <v>0.34171</v>
      </c>
      <c r="F43" s="68" t="n"/>
      <c r="G43" s="68" t="n"/>
      <c r="H43" s="71" t="n">
        <v>0.09186999999999999</v>
      </c>
      <c r="I43" s="71" t="n">
        <v>0.057</v>
      </c>
      <c r="J43" s="68" t="n"/>
      <c r="K43" s="69" t="n">
        <v>-0.028</v>
      </c>
      <c r="L43" s="69" t="n">
        <v>-0.0235</v>
      </c>
      <c r="M43" s="68" t="n"/>
      <c r="N43" s="68" t="n"/>
      <c r="O43" s="68" t="n"/>
      <c r="P43" s="68" t="n"/>
      <c r="Q43" s="68" t="n"/>
      <c r="R43" s="92" t="inlineStr">
        <is>
          <t>-0.0350 to -0.0160</t>
        </is>
      </c>
      <c r="S43" s="92" t="inlineStr">
        <is>
          <t>—</t>
        </is>
      </c>
      <c r="T43" s="92" t="inlineStr">
        <is>
          <t>—</t>
        </is>
      </c>
      <c r="U43" s="92" t="n"/>
    </row>
    <row r="44" ht="19.5" customHeight="1" s="111">
      <c r="A44" s="65" t="inlineStr">
        <is>
          <t>LA_PALMA-HAINE_DR 138KV</t>
        </is>
      </c>
      <c r="B44" s="66" t="inlineStr">
        <is>
          <t>🟡 Watch</t>
        </is>
      </c>
      <c r="C44" s="70" t="n">
        <v>157434.95</v>
      </c>
      <c r="D44" s="68" t="inlineStr">
        <is>
          <t>HE17, HE16, HE18</t>
        </is>
      </c>
      <c r="E44" s="68" t="n"/>
      <c r="F44" s="68" t="n"/>
      <c r="G44" s="71" t="n">
        <v>0.01138</v>
      </c>
      <c r="H44" s="68" t="n"/>
      <c r="I44" s="68" t="n"/>
      <c r="J44" s="68" t="n"/>
      <c r="K44" s="68" t="n"/>
      <c r="L44" s="68" t="n"/>
      <c r="M44" s="71" t="n">
        <v>0.018556</v>
      </c>
      <c r="N44" s="68" t="n"/>
      <c r="O44" s="68" t="n"/>
      <c r="P44" s="68" t="n"/>
      <c r="Q44" s="68" t="n"/>
      <c r="R44" s="92" t="inlineStr">
        <is>
          <t>-0.0026 to -0.0026</t>
        </is>
      </c>
      <c r="S44" s="92" t="inlineStr">
        <is>
          <t>-0.0028 to -0.0027</t>
        </is>
      </c>
      <c r="T44" s="92" t="inlineStr">
        <is>
          <t>-0.0144 to 0.0392</t>
        </is>
      </c>
      <c r="U44" s="92" t="inlineStr">
        <is>
          <t>Falfurrias (Coastal): +0.0392</t>
        </is>
      </c>
    </row>
    <row r="45" ht="19.5" customHeight="1" s="111">
      <c r="A45" s="65" t="inlineStr">
        <is>
          <t>GN-PZ 138KV</t>
        </is>
      </c>
      <c r="B45" s="66" t="inlineStr">
        <is>
          <t>🟡 Watch</t>
        </is>
      </c>
      <c r="C45" s="67" t="n">
        <v>25619.24</v>
      </c>
      <c r="D45" s="68" t="inlineStr">
        <is>
          <t>HE16, HE14, HE17</t>
        </is>
      </c>
      <c r="E45" s="68" t="n"/>
      <c r="F45" s="68" t="n"/>
      <c r="G45" s="68" t="n"/>
      <c r="H45" s="68" t="n"/>
      <c r="I45" s="68" t="n"/>
      <c r="J45" s="68" t="n"/>
      <c r="K45" s="68" t="n"/>
      <c r="L45" s="68" t="n"/>
      <c r="M45" s="68" t="n"/>
      <c r="N45" s="61" t="n">
        <v>0.18322</v>
      </c>
      <c r="O45" s="68" t="n"/>
      <c r="P45" s="68" t="n"/>
      <c r="Q45" s="68" t="n"/>
      <c r="R45" s="92" t="inlineStr">
        <is>
          <t>—</t>
        </is>
      </c>
      <c r="S45" s="92" t="inlineStr">
        <is>
          <t>—</t>
        </is>
      </c>
      <c r="T45" s="92" t="inlineStr">
        <is>
          <t>—</t>
        </is>
      </c>
      <c r="U45" s="92" t="n"/>
    </row>
    <row r="46" ht="19.5" customHeight="1" s="111">
      <c r="A46" s="65" t="inlineStr">
        <is>
          <t>PILONCIL-NLARSW 138KV</t>
        </is>
      </c>
      <c r="B46" s="66" t="inlineStr">
        <is>
          <t>🟡 Watch</t>
        </is>
      </c>
      <c r="C46" s="67" t="n">
        <v>4162.67</v>
      </c>
      <c r="D46" s="68" t="inlineStr">
        <is>
          <t>HE16, HE15, HE17</t>
        </is>
      </c>
      <c r="E46" s="68" t="n"/>
      <c r="F46" s="64" t="n">
        <v>-0.26481</v>
      </c>
      <c r="G46" s="59" t="n">
        <v>0.23807</v>
      </c>
      <c r="H46" s="69" t="n">
        <v>-0.09445000000000001</v>
      </c>
      <c r="I46" s="64" t="n">
        <v>-0.12963</v>
      </c>
      <c r="J46" s="68" t="n"/>
      <c r="K46" s="68" t="n"/>
      <c r="L46" s="68" t="n"/>
      <c r="M46" s="71" t="n">
        <v>0.076</v>
      </c>
      <c r="N46" s="68" t="n"/>
      <c r="O46" s="68" t="n"/>
      <c r="P46" s="68" t="n"/>
      <c r="Q46" s="68" t="n"/>
      <c r="R46" s="92" t="inlineStr">
        <is>
          <t>—</t>
        </is>
      </c>
      <c r="S46" s="92" t="inlineStr">
        <is>
          <t>—</t>
        </is>
      </c>
      <c r="T46" s="92" t="inlineStr">
        <is>
          <t>0.0210 to 0.0500</t>
        </is>
      </c>
      <c r="U46" s="92" t="inlineStr">
        <is>
          <t>Falfurrias (Coastal): +0.0500</t>
        </is>
      </c>
    </row>
    <row r="47" ht="19.5" customHeight="1" s="111">
      <c r="A47" s="65" t="inlineStr">
        <is>
          <t>MV_BURNS-MV_HBRG4 138KV</t>
        </is>
      </c>
      <c r="B47" s="66" t="inlineStr">
        <is>
          <t>🟡 Watch</t>
        </is>
      </c>
      <c r="C47" s="67" t="n">
        <v>21330.38</v>
      </c>
      <c r="D47" s="68" t="inlineStr">
        <is>
          <t>HE17, HE18, HE19</t>
        </is>
      </c>
      <c r="E47" s="68" t="n"/>
      <c r="F47" s="68" t="n"/>
      <c r="G47" s="68" t="n"/>
      <c r="H47" s="68" t="n"/>
      <c r="I47" s="68" t="n"/>
      <c r="J47" s="68" t="n"/>
      <c r="K47" s="68" t="n"/>
      <c r="L47" s="68" t="n"/>
      <c r="M47" s="61" t="n">
        <v>0.15343</v>
      </c>
      <c r="N47" s="68" t="n"/>
      <c r="O47" s="68" t="n"/>
      <c r="P47" s="68" t="n"/>
      <c r="Q47" s="68" t="n"/>
      <c r="R47" s="92" t="inlineStr">
        <is>
          <t>—</t>
        </is>
      </c>
      <c r="S47" s="92" t="inlineStr">
        <is>
          <t>—</t>
        </is>
      </c>
      <c r="T47" s="92" t="inlineStr">
        <is>
          <t>-0.0100</t>
        </is>
      </c>
      <c r="U47" s="92" t="n"/>
    </row>
    <row r="48" ht="19.5" customHeight="1" s="111">
      <c r="A48" s="65" t="inlineStr">
        <is>
          <t>CATARINA-ASHERTON 138KV</t>
        </is>
      </c>
      <c r="B48" s="66" t="inlineStr">
        <is>
          <t>🟡 Watch</t>
        </is>
      </c>
      <c r="C48" s="67" t="n">
        <v>3299.99</v>
      </c>
      <c r="D48" s="68" t="inlineStr">
        <is>
          <t>HE22, HE21, HE20</t>
        </is>
      </c>
      <c r="E48" s="68" t="n"/>
      <c r="F48" s="64" t="n">
        <v>-0.732</v>
      </c>
      <c r="G48" s="69" t="n">
        <v>-0.09013</v>
      </c>
      <c r="H48" s="71" t="n">
        <v>0.0722</v>
      </c>
      <c r="I48" s="68" t="n"/>
      <c r="J48" s="68" t="n"/>
      <c r="K48" s="68" t="n"/>
      <c r="L48" s="68" t="n"/>
      <c r="M48" s="69" t="n">
        <v>-0.0514</v>
      </c>
      <c r="N48" s="68" t="n"/>
      <c r="O48" s="68" t="n"/>
      <c r="P48" s="68" t="n"/>
      <c r="Q48" s="68" t="n"/>
      <c r="R48" s="92" t="inlineStr">
        <is>
          <t>—</t>
        </is>
      </c>
      <c r="S48" s="92" t="inlineStr">
        <is>
          <t>—</t>
        </is>
      </c>
      <c r="T48" s="92" t="inlineStr">
        <is>
          <t>-0.0510 to -0.0230</t>
        </is>
      </c>
      <c r="U48" s="92" t="inlineStr">
        <is>
          <t>Falfurrias (Coastal): -0.0510</t>
        </is>
      </c>
    </row>
    <row r="49" ht="19.5" customHeight="1" s="111">
      <c r="A49" s="65" t="inlineStr">
        <is>
          <t>BR-HOC 138KV</t>
        </is>
      </c>
      <c r="B49" s="66" t="inlineStr">
        <is>
          <t>🟡 Watch</t>
        </is>
      </c>
      <c r="C49" s="67" t="n">
        <v>26713.59</v>
      </c>
      <c r="D49" s="68" t="inlineStr">
        <is>
          <t>HE16, HE15, HE17</t>
        </is>
      </c>
      <c r="E49" s="68" t="n"/>
      <c r="F49" s="68" t="n"/>
      <c r="G49" s="68" t="n"/>
      <c r="H49" s="68" t="n"/>
      <c r="I49" s="68" t="n"/>
      <c r="J49" s="68" t="n"/>
      <c r="K49" s="68" t="n"/>
      <c r="L49" s="68" t="n"/>
      <c r="M49" s="68" t="n"/>
      <c r="N49" s="71" t="n">
        <v>0.09515</v>
      </c>
      <c r="O49" s="68" t="n"/>
      <c r="P49" s="68" t="n"/>
      <c r="Q49" s="68" t="n"/>
      <c r="R49" s="92" t="inlineStr">
        <is>
          <t>-0.0100</t>
        </is>
      </c>
      <c r="S49" s="92" t="inlineStr">
        <is>
          <t>-0.0130 to -0.0110</t>
        </is>
      </c>
      <c r="T49" s="92" t="inlineStr">
        <is>
          <t>-0.0250 to -0.0200</t>
        </is>
      </c>
      <c r="U49" s="92" t="n"/>
    </row>
    <row r="50" ht="19.5" customHeight="1" s="111">
      <c r="A50" s="65" t="inlineStr">
        <is>
          <t>BOW 69KV</t>
        </is>
      </c>
      <c r="B50" s="66" t="inlineStr">
        <is>
          <t>🟡 Watch</t>
        </is>
      </c>
      <c r="C50" s="67" t="n">
        <v>36478.42</v>
      </c>
      <c r="D50" s="68" t="inlineStr">
        <is>
          <t>HE9, HE8, HE20</t>
        </is>
      </c>
      <c r="E50" s="68" t="n"/>
      <c r="F50" s="68" t="n"/>
      <c r="G50" s="68" t="n"/>
      <c r="H50" s="68" t="n"/>
      <c r="I50" s="68" t="n"/>
      <c r="J50" s="68" t="n"/>
      <c r="K50" s="68" t="n"/>
      <c r="L50" s="68" t="n"/>
      <c r="M50" s="68" t="n"/>
      <c r="N50" s="68" t="n"/>
      <c r="O50" s="68" t="n"/>
      <c r="P50" s="68" t="n"/>
      <c r="Q50" s="69" t="n">
        <v>-0.05</v>
      </c>
      <c r="R50" s="94" t="inlineStr">
        <is>
          <t>-0.0030</t>
        </is>
      </c>
      <c r="S50" s="94" t="inlineStr">
        <is>
          <t>-0.0020 to 0.0100</t>
        </is>
      </c>
      <c r="T50" s="94" t="inlineStr">
        <is>
          <t>-0.0030 to 0.0001</t>
        </is>
      </c>
      <c r="U50" s="94" t="n"/>
    </row>
    <row r="51" ht="19.5" customHeight="1" s="111">
      <c r="A51" s="65" t="inlineStr">
        <is>
          <t>MCCAMY</t>
        </is>
      </c>
      <c r="B51" s="66" t="inlineStr">
        <is>
          <t>🟡 Watch</t>
        </is>
      </c>
      <c r="C51" s="67" t="n">
        <v>4254.06</v>
      </c>
      <c r="D51" s="68" t="inlineStr">
        <is>
          <t>HE13, HE12, HE14</t>
        </is>
      </c>
      <c r="E51" s="64" t="n">
        <v>-0.24657</v>
      </c>
      <c r="F51" s="68" t="n"/>
      <c r="G51" s="68" t="n"/>
      <c r="H51" s="64" t="n">
        <v>-0.11282</v>
      </c>
      <c r="I51" s="69" t="n">
        <v>-0.06874</v>
      </c>
      <c r="J51" s="68" t="n"/>
      <c r="K51" s="68" t="n"/>
      <c r="L51" s="68" t="n"/>
      <c r="M51" s="68" t="n"/>
      <c r="N51" s="68" t="n"/>
      <c r="O51" s="68" t="n"/>
      <c r="P51" s="68" t="n"/>
      <c r="Q51" s="68" t="n"/>
      <c r="R51" s="92" t="inlineStr">
        <is>
          <t>-0.1440 to 0.0366</t>
        </is>
      </c>
      <c r="S51" s="92" t="inlineStr">
        <is>
          <t>0.0100 to 0.0110</t>
        </is>
      </c>
      <c r="T51" s="92" t="inlineStr">
        <is>
          <t>—</t>
        </is>
      </c>
      <c r="U51" s="92" t="inlineStr">
        <is>
          <t>Gomez (West): -0.1440</t>
        </is>
      </c>
    </row>
    <row r="52" ht="19.5" customHeight="1" s="111">
      <c r="A52" s="65" t="inlineStr">
        <is>
          <t>CMNSW-CMNTP 138KV</t>
        </is>
      </c>
      <c r="B52" s="66" t="inlineStr">
        <is>
          <t>🟡 Watch</t>
        </is>
      </c>
      <c r="C52" s="67" t="n">
        <v>31078.31</v>
      </c>
      <c r="D52" s="68" t="inlineStr">
        <is>
          <t>HE17, HE19, HE18</t>
        </is>
      </c>
      <c r="E52" s="68" t="n"/>
      <c r="F52" s="68" t="n"/>
      <c r="G52" s="68" t="n"/>
      <c r="H52" s="68" t="n"/>
      <c r="I52" s="68" t="n"/>
      <c r="J52" s="68" t="n"/>
      <c r="K52" s="68" t="n"/>
      <c r="L52" s="68" t="n"/>
      <c r="M52" s="68" t="n"/>
      <c r="N52" s="68" t="n"/>
      <c r="O52" s="71" t="n">
        <v>0.05</v>
      </c>
      <c r="P52" s="68" t="n"/>
      <c r="Q52" s="68" t="n"/>
      <c r="R52" s="92" t="inlineStr">
        <is>
          <t>-0.0150</t>
        </is>
      </c>
      <c r="S52" s="92" t="inlineStr">
        <is>
          <t>0.0100 to 0.0570</t>
        </is>
      </c>
      <c r="T52" s="92" t="inlineStr">
        <is>
          <t>-0.0060</t>
        </is>
      </c>
      <c r="U52" s="92" t="inlineStr">
        <is>
          <t>Mineral Wells (North): +0.0570</t>
        </is>
      </c>
    </row>
    <row r="53" ht="19.5" customHeight="1" s="111">
      <c r="A53" s="65" t="inlineStr">
        <is>
          <t>UVALDE-READING 138KV</t>
        </is>
      </c>
      <c r="B53" s="66" t="inlineStr">
        <is>
          <t>🟡 Watch</t>
        </is>
      </c>
      <c r="C53" s="67" t="n">
        <v>3280.03</v>
      </c>
      <c r="D53" s="68" t="inlineStr">
        <is>
          <t>HE19, HE18, HE17</t>
        </is>
      </c>
      <c r="E53" s="68" t="n"/>
      <c r="F53" s="69" t="n">
        <v>-0.08093</v>
      </c>
      <c r="G53" s="68" t="n"/>
      <c r="H53" s="64" t="n">
        <v>-0.20464</v>
      </c>
      <c r="I53" s="69" t="n">
        <v>-0.08935</v>
      </c>
      <c r="J53" s="68" t="n"/>
      <c r="K53" s="68" t="n"/>
      <c r="L53" s="68" t="n"/>
      <c r="M53" s="68" t="n"/>
      <c r="N53" s="68" t="n"/>
      <c r="O53" s="68" t="n"/>
      <c r="P53" s="68" t="n"/>
      <c r="Q53" s="68" t="n"/>
      <c r="R53" s="92" t="inlineStr">
        <is>
          <t>—</t>
        </is>
      </c>
      <c r="S53" s="92" t="inlineStr">
        <is>
          <t>—</t>
        </is>
      </c>
      <c r="T53" s="92" t="inlineStr">
        <is>
          <t>0.0180</t>
        </is>
      </c>
      <c r="U53" s="92" t="n"/>
    </row>
    <row r="54" ht="19.5" customHeight="1" s="111">
      <c r="A54" s="65" t="inlineStr">
        <is>
          <t>WOLFCAMP-SANTARIT 138KV</t>
        </is>
      </c>
      <c r="B54" s="66" t="inlineStr">
        <is>
          <t>🟡 Watch</t>
        </is>
      </c>
      <c r="C54" s="67" t="n">
        <v>3322.27</v>
      </c>
      <c r="D54" s="68" t="inlineStr">
        <is>
          <t>HE17, HE16, HE19</t>
        </is>
      </c>
      <c r="E54" s="59" t="n">
        <v>0.31739</v>
      </c>
      <c r="F54" s="68" t="n"/>
      <c r="G54" s="68" t="n"/>
      <c r="H54" s="68" t="n"/>
      <c r="I54" s="68" t="n"/>
      <c r="J54" s="68" t="n"/>
      <c r="K54" s="68" t="n"/>
      <c r="L54" s="68" t="n"/>
      <c r="M54" s="68" t="n"/>
      <c r="N54" s="68" t="n"/>
      <c r="O54" s="68" t="n"/>
      <c r="P54" s="68" t="n"/>
      <c r="Q54" s="68" t="n"/>
      <c r="R54" s="92" t="inlineStr">
        <is>
          <t>-0.0380 to -0.0170</t>
        </is>
      </c>
      <c r="S54" s="92" t="inlineStr">
        <is>
          <t>—</t>
        </is>
      </c>
      <c r="T54" s="92" t="inlineStr">
        <is>
          <t>—</t>
        </is>
      </c>
      <c r="U54" s="92" t="n"/>
    </row>
    <row r="55" ht="19.5" customHeight="1" s="111">
      <c r="A55" s="65" t="inlineStr">
        <is>
          <t>LHSES-PRCSW 138KV</t>
        </is>
      </c>
      <c r="B55" s="66" t="inlineStr">
        <is>
          <t>🟡 Watch</t>
        </is>
      </c>
      <c r="C55" s="67" t="n">
        <v>15846.42</v>
      </c>
      <c r="D55" s="68" t="inlineStr">
        <is>
          <t>HE20, HE19, HE17</t>
        </is>
      </c>
      <c r="E55" s="68" t="n"/>
      <c r="F55" s="68" t="n"/>
      <c r="G55" s="68" t="n"/>
      <c r="H55" s="68" t="n"/>
      <c r="I55" s="68" t="n"/>
      <c r="J55" s="68" t="n"/>
      <c r="K55" s="68" t="n"/>
      <c r="L55" s="68" t="n"/>
      <c r="M55" s="68" t="n"/>
      <c r="N55" s="68" t="n"/>
      <c r="O55" s="68" t="n"/>
      <c r="P55" s="69" t="n">
        <v>-0.05</v>
      </c>
      <c r="Q55" s="68" t="n"/>
      <c r="R55" s="92" t="inlineStr">
        <is>
          <t>—</t>
        </is>
      </c>
      <c r="S55" s="92" t="inlineStr">
        <is>
          <t>-0.0500 to -0.0450</t>
        </is>
      </c>
      <c r="T55" s="92" t="inlineStr">
        <is>
          <t>—</t>
        </is>
      </c>
      <c r="U55" s="92" t="n"/>
    </row>
    <row r="56" ht="19.5" customHeight="1" s="111">
      <c r="A56" s="65" t="inlineStr">
        <is>
          <t>LAREDO-DEL_MAR 138KV</t>
        </is>
      </c>
      <c r="B56" s="66" t="inlineStr">
        <is>
          <t>🟡 Watch</t>
        </is>
      </c>
      <c r="C56" s="67" t="n">
        <v>12390.2</v>
      </c>
      <c r="D56" s="68" t="inlineStr">
        <is>
          <t>HE23, HE24, HE22</t>
        </is>
      </c>
      <c r="E56" s="68" t="n"/>
      <c r="F56" s="68" t="n"/>
      <c r="G56" s="71" t="n">
        <v>0.06</v>
      </c>
      <c r="H56" s="68" t="n"/>
      <c r="I56" s="68" t="n"/>
      <c r="J56" s="68" t="n"/>
      <c r="K56" s="68" t="n"/>
      <c r="L56" s="68" t="n"/>
      <c r="M56" s="68" t="n"/>
      <c r="N56" s="68" t="n"/>
      <c r="O56" s="68" t="n"/>
      <c r="P56" s="68" t="n"/>
      <c r="Q56" s="68" t="n"/>
      <c r="R56" s="92" t="inlineStr">
        <is>
          <t>—</t>
        </is>
      </c>
      <c r="S56" s="92" t="inlineStr">
        <is>
          <t>—</t>
        </is>
      </c>
      <c r="T56" s="92" t="inlineStr">
        <is>
          <t>—</t>
        </is>
      </c>
      <c r="U56" s="92" t="n"/>
    </row>
    <row r="57" ht="19.5" customHeight="1" s="111">
      <c r="A57" s="65" t="inlineStr">
        <is>
          <t>COLETO CREEK-VICTORIA</t>
        </is>
      </c>
      <c r="B57" s="66" t="inlineStr">
        <is>
          <t>🟡 Watch</t>
        </is>
      </c>
      <c r="C57" s="67" t="n">
        <v>6622.44</v>
      </c>
      <c r="D57" s="68" t="inlineStr">
        <is>
          <t>HE20, HE22, HE21</t>
        </is>
      </c>
      <c r="E57" s="68" t="n"/>
      <c r="F57" s="68" t="n"/>
      <c r="G57" s="68" t="n"/>
      <c r="H57" s="68" t="n"/>
      <c r="I57" s="68" t="n"/>
      <c r="J57" s="68" t="n"/>
      <c r="K57" s="68" t="n"/>
      <c r="L57" s="68" t="n"/>
      <c r="M57" s="69" t="n">
        <v>-0.0917</v>
      </c>
      <c r="N57" s="68" t="n"/>
      <c r="O57" s="68" t="n"/>
      <c r="P57" s="68" t="n"/>
      <c r="Q57" s="68" t="n"/>
      <c r="R57" s="92" t="inlineStr">
        <is>
          <t>—</t>
        </is>
      </c>
      <c r="S57" s="92" t="inlineStr">
        <is>
          <t>—</t>
        </is>
      </c>
      <c r="T57" s="92" t="inlineStr">
        <is>
          <t>-0.1100 to 0.0460</t>
        </is>
      </c>
      <c r="U57" s="92" t="n"/>
    </row>
    <row r="58" ht="19.5" customHeight="1" s="111">
      <c r="A58" s="65" t="inlineStr">
        <is>
          <t>FMRVL-RYSSW 345KV</t>
        </is>
      </c>
      <c r="B58" s="66" t="inlineStr">
        <is>
          <t>🟡 Watch</t>
        </is>
      </c>
      <c r="C58" s="67" t="n">
        <v>4009.58</v>
      </c>
      <c r="D58" s="68" t="inlineStr">
        <is>
          <t>HE17, HE16, HE15</t>
        </is>
      </c>
      <c r="E58" s="68" t="n"/>
      <c r="F58" s="68" t="n"/>
      <c r="G58" s="68" t="n"/>
      <c r="H58" s="68" t="n"/>
      <c r="I58" s="68" t="n"/>
      <c r="J58" s="68" t="n"/>
      <c r="K58" s="68" t="n"/>
      <c r="L58" s="68" t="n"/>
      <c r="M58" s="68" t="n"/>
      <c r="N58" s="68" t="n"/>
      <c r="O58" s="68" t="n"/>
      <c r="P58" s="71" t="n">
        <v>0.05227</v>
      </c>
      <c r="Q58" s="69" t="n">
        <v>-0.03425</v>
      </c>
      <c r="R58" s="94" t="inlineStr">
        <is>
          <t>-0.0200 to -0.0190</t>
        </is>
      </c>
      <c r="S58" s="94" t="inlineStr">
        <is>
          <t>-0.0266 to 0.0585</t>
        </is>
      </c>
      <c r="T58" s="94" t="inlineStr">
        <is>
          <t>—</t>
        </is>
      </c>
      <c r="U58" s="94" t="inlineStr">
        <is>
          <t>Lufkin South (North): +0.0585</t>
        </is>
      </c>
    </row>
    <row r="59" ht="19.5" customHeight="1" s="111">
      <c r="A59" s="72" t="inlineStr">
        <is>
          <t>VEALMOOR-KOCHTAP 138KV</t>
        </is>
      </c>
      <c r="B59" s="73" t="inlineStr">
        <is>
          <t>⚫ Low Priority</t>
        </is>
      </c>
      <c r="C59" s="74" t="n">
        <v>294667.84</v>
      </c>
      <c r="D59" s="75" t="inlineStr">
        <is>
          <t>HE23, HE24, HE22</t>
        </is>
      </c>
      <c r="E59" s="76" t="n">
        <v>0.02331</v>
      </c>
      <c r="F59" s="75" t="n"/>
      <c r="G59" s="75" t="n"/>
      <c r="H59" s="76" t="n">
        <v>0.01012</v>
      </c>
      <c r="I59" s="75" t="n"/>
      <c r="J59" s="75" t="n"/>
      <c r="K59" s="76" t="n">
        <v>0.0524</v>
      </c>
      <c r="L59" s="76" t="n">
        <v>0.0447</v>
      </c>
      <c r="M59" s="75" t="n"/>
      <c r="N59" s="75" t="n"/>
      <c r="O59" s="75" t="n"/>
      <c r="P59" s="75" t="n"/>
      <c r="Q59" s="75" t="n"/>
      <c r="R59" s="95" t="inlineStr">
        <is>
          <t>0.0424 to 0.0564</t>
        </is>
      </c>
      <c r="S59" s="95" t="inlineStr">
        <is>
          <t>-0.0107 to -0.0099</t>
        </is>
      </c>
      <c r="T59" s="95" t="inlineStr">
        <is>
          <t>-0.0047 to -0.0026</t>
        </is>
      </c>
      <c r="U59" s="95" t="n"/>
    </row>
    <row r="60" ht="19.5" customHeight="1" s="111">
      <c r="A60" s="72" t="inlineStr">
        <is>
          <t>SNDHT-WLFSW 138KV</t>
        </is>
      </c>
      <c r="B60" s="73" t="inlineStr">
        <is>
          <t>⚫ Low Priority</t>
        </is>
      </c>
      <c r="C60" s="77" t="n">
        <v>54270.9</v>
      </c>
      <c r="D60" s="75" t="inlineStr">
        <is>
          <t>HE4, HE2, HE1</t>
        </is>
      </c>
      <c r="E60" s="75" t="n"/>
      <c r="F60" s="75" t="n"/>
      <c r="G60" s="75" t="n"/>
      <c r="H60" s="75" t="n"/>
      <c r="I60" s="75" t="n"/>
      <c r="J60" s="75" t="n"/>
      <c r="K60" s="64" t="n">
        <v>-0.44871</v>
      </c>
      <c r="L60" s="76" t="n">
        <v>0.07000000000000001</v>
      </c>
      <c r="M60" s="75" t="n"/>
      <c r="N60" s="75" t="n"/>
      <c r="O60" s="75" t="n"/>
      <c r="P60" s="75" t="n"/>
      <c r="Q60" s="75" t="n"/>
      <c r="R60" s="95" t="inlineStr">
        <is>
          <t>-0.0163 to 0.0828</t>
        </is>
      </c>
      <c r="S60" s="95" t="inlineStr">
        <is>
          <t>-0.0064 to -0.0058</t>
        </is>
      </c>
      <c r="T60" s="95" t="inlineStr">
        <is>
          <t>-0.0004</t>
        </is>
      </c>
      <c r="U60" s="95" t="n"/>
    </row>
    <row r="61" ht="19.5" customHeight="1" s="111">
      <c r="A61" s="72" t="inlineStr">
        <is>
          <t>WCRYSTS-CARIZOS 69KV</t>
        </is>
      </c>
      <c r="B61" s="73" t="inlineStr">
        <is>
          <t>⚫ Low Priority</t>
        </is>
      </c>
      <c r="C61" s="77" t="n">
        <v>39682.54</v>
      </c>
      <c r="D61" s="75" t="inlineStr">
        <is>
          <t>HE7, HE8, HE5</t>
        </is>
      </c>
      <c r="E61" s="75" t="n"/>
      <c r="F61" s="78" t="n">
        <v>-0.05</v>
      </c>
      <c r="G61" s="75" t="n"/>
      <c r="H61" s="61" t="n">
        <v>0.126</v>
      </c>
      <c r="I61" s="61" t="n">
        <v>0.19</v>
      </c>
      <c r="J61" s="75" t="n"/>
      <c r="K61" s="75" t="n"/>
      <c r="L61" s="75" t="n"/>
      <c r="M61" s="75" t="n"/>
      <c r="N61" s="75" t="n"/>
      <c r="O61" s="75" t="n"/>
      <c r="P61" s="75" t="n"/>
      <c r="Q61" s="75" t="n"/>
      <c r="R61" s="95" t="inlineStr">
        <is>
          <t>0.0050</t>
        </is>
      </c>
      <c r="S61" s="95" t="inlineStr">
        <is>
          <t>0.0004 to 0.0010</t>
        </is>
      </c>
      <c r="T61" s="95" t="inlineStr">
        <is>
          <t>-0.0070 to -0.0030</t>
        </is>
      </c>
      <c r="U61" s="95" t="n"/>
    </row>
    <row r="62" ht="19.5" customHeight="1" s="111">
      <c r="A62" s="72" t="inlineStr">
        <is>
          <t>JEWET-BBSES 345KV</t>
        </is>
      </c>
      <c r="B62" s="73" t="inlineStr">
        <is>
          <t>⚫ Low Priority</t>
        </is>
      </c>
      <c r="C62" s="77" t="n">
        <v>22370.98</v>
      </c>
      <c r="D62" s="75" t="inlineStr">
        <is>
          <t>HE21, HE20, HE8</t>
        </is>
      </c>
      <c r="E62" s="76" t="n">
        <v>0.04</v>
      </c>
      <c r="F62" s="78" t="n">
        <v>-0.04</v>
      </c>
      <c r="G62" s="78" t="n">
        <v>-0.05</v>
      </c>
      <c r="H62" s="75" t="n"/>
      <c r="I62" s="75" t="n"/>
      <c r="J62" s="75" t="n"/>
      <c r="K62" s="76" t="n">
        <v>0.04</v>
      </c>
      <c r="L62" s="76" t="n">
        <v>0.04</v>
      </c>
      <c r="M62" s="78" t="n">
        <v>-0.05</v>
      </c>
      <c r="N62" s="78" t="n">
        <v>-0.1</v>
      </c>
      <c r="O62" s="76" t="n">
        <v>0.068</v>
      </c>
      <c r="P62" s="61" t="n">
        <v>0.12874</v>
      </c>
      <c r="Q62" s="76" t="n">
        <v>0.0833</v>
      </c>
      <c r="R62" s="95" t="inlineStr">
        <is>
          <t>0.0400</t>
        </is>
      </c>
      <c r="S62" s="95" t="inlineStr">
        <is>
          <t>0.0870 to 0.1200</t>
        </is>
      </c>
      <c r="T62" s="95" t="inlineStr">
        <is>
          <t>-0.0800 to -0.0500</t>
        </is>
      </c>
      <c r="U62" s="95" t="n"/>
    </row>
    <row r="63" ht="19.5" customHeight="1" s="111">
      <c r="A63" s="72" t="inlineStr">
        <is>
          <t>ABNTHWST 138KV</t>
        </is>
      </c>
      <c r="B63" s="73" t="inlineStr">
        <is>
          <t>⚫ Low Priority</t>
        </is>
      </c>
      <c r="C63" s="74" t="n">
        <v>101250.18</v>
      </c>
      <c r="D63" s="75" t="inlineStr">
        <is>
          <t>HE17, HE16, HE18</t>
        </is>
      </c>
      <c r="E63" s="75" t="n"/>
      <c r="F63" s="75" t="n"/>
      <c r="G63" s="75" t="n"/>
      <c r="H63" s="75" t="n"/>
      <c r="I63" s="75" t="n"/>
      <c r="J63" s="75" t="n"/>
      <c r="K63" s="75" t="n"/>
      <c r="L63" s="75" t="n"/>
      <c r="M63" s="75" t="n"/>
      <c r="N63" s="75" t="n"/>
      <c r="O63" s="61" t="n">
        <v>0.13947</v>
      </c>
      <c r="P63" s="75" t="n"/>
      <c r="Q63" s="75" t="n"/>
      <c r="R63" s="95" t="inlineStr">
        <is>
          <t>-0.0047 to -0.0041</t>
        </is>
      </c>
      <c r="S63" s="95" t="inlineStr">
        <is>
          <t>-0.0021 to 0.0062</t>
        </is>
      </c>
      <c r="T63" s="95" t="inlineStr">
        <is>
          <t>-0.0026 to -0.0025</t>
        </is>
      </c>
      <c r="U63" s="95" t="n"/>
    </row>
    <row r="64" ht="19.5" customHeight="1" s="111">
      <c r="A64" s="72" t="inlineStr">
        <is>
          <t>KLNSW-STAGE 138KV</t>
        </is>
      </c>
      <c r="B64" s="73" t="inlineStr">
        <is>
          <t>⚫ Low Priority</t>
        </is>
      </c>
      <c r="C64" s="77" t="n">
        <v>80643.09</v>
      </c>
      <c r="D64" s="75" t="inlineStr">
        <is>
          <t>HE22, HE23, HE24</t>
        </is>
      </c>
      <c r="E64" s="78" t="n">
        <v>-0.04</v>
      </c>
      <c r="F64" s="75" t="n"/>
      <c r="G64" s="75" t="n"/>
      <c r="H64" s="75" t="n"/>
      <c r="I64" s="75" t="n"/>
      <c r="J64" s="75" t="n"/>
      <c r="K64" s="78" t="n">
        <v>-0.04</v>
      </c>
      <c r="L64" s="78" t="n">
        <v>-0.04</v>
      </c>
      <c r="M64" s="76" t="n">
        <v>0.021</v>
      </c>
      <c r="N64" s="75" t="n"/>
      <c r="O64" s="78" t="n">
        <v>-0.03</v>
      </c>
      <c r="P64" s="75" t="n"/>
      <c r="Q64" s="75" t="n"/>
      <c r="R64" s="95" t="inlineStr">
        <is>
          <t>-0.0440 to -0.0044</t>
        </is>
      </c>
      <c r="S64" s="95" t="inlineStr">
        <is>
          <t>-0.0210 to -0.0020</t>
        </is>
      </c>
      <c r="T64" s="95" t="inlineStr">
        <is>
          <t>0.0208 to 0.0210</t>
        </is>
      </c>
      <c r="U64" s="95" t="n"/>
    </row>
    <row r="65" ht="19.5" customHeight="1" s="111">
      <c r="A65" s="72" t="inlineStr">
        <is>
          <t>HAMILTON-MAVERICK 138KV</t>
        </is>
      </c>
      <c r="B65" s="73" t="inlineStr">
        <is>
          <t>⚫ Low Priority</t>
        </is>
      </c>
      <c r="C65" s="77" t="n">
        <v>15943.21</v>
      </c>
      <c r="D65" s="75" t="inlineStr">
        <is>
          <t>HE17, HE20, HE21</t>
        </is>
      </c>
      <c r="E65" s="75" t="n"/>
      <c r="F65" s="76" t="n">
        <v>0.07199999999999999</v>
      </c>
      <c r="G65" s="75" t="n"/>
      <c r="H65" s="64" t="n">
        <v>-0.5600000000000001</v>
      </c>
      <c r="I65" s="61" t="n">
        <v>0.19612</v>
      </c>
      <c r="J65" s="75" t="n"/>
      <c r="K65" s="75" t="n"/>
      <c r="L65" s="75" t="n"/>
      <c r="M65" s="75" t="n"/>
      <c r="N65" s="75" t="n"/>
      <c r="O65" s="75" t="n"/>
      <c r="P65" s="75" t="n"/>
      <c r="Q65" s="75" t="n"/>
      <c r="R65" s="95" t="inlineStr">
        <is>
          <t>-0.0190 to -0.0130</t>
        </is>
      </c>
      <c r="S65" s="95" t="inlineStr">
        <is>
          <t>—</t>
        </is>
      </c>
      <c r="T65" s="95" t="inlineStr">
        <is>
          <t>0.0150 to 0.0180</t>
        </is>
      </c>
      <c r="U65" s="95" t="n"/>
    </row>
    <row r="66" ht="19.5" customHeight="1" s="111">
      <c r="A66" s="72" t="inlineStr">
        <is>
          <t>HCKSW 1KV</t>
        </is>
      </c>
      <c r="B66" s="73" t="inlineStr">
        <is>
          <t>⚫ Low Priority</t>
        </is>
      </c>
      <c r="C66" s="77" t="n">
        <v>69902.77</v>
      </c>
      <c r="D66" s="75" t="inlineStr">
        <is>
          <t>HE19, HE21, HE20</t>
        </is>
      </c>
      <c r="E66" s="78" t="n">
        <v>-0.035</v>
      </c>
      <c r="F66" s="75" t="n"/>
      <c r="G66" s="75" t="n"/>
      <c r="H66" s="75" t="n"/>
      <c r="I66" s="75" t="n"/>
      <c r="J66" s="75" t="n"/>
      <c r="K66" s="78" t="n">
        <v>-0.04</v>
      </c>
      <c r="L66" s="78" t="n">
        <v>-0.04</v>
      </c>
      <c r="M66" s="75" t="n"/>
      <c r="N66" s="75" t="n"/>
      <c r="O66" s="75" t="n"/>
      <c r="P66" s="75" t="n"/>
      <c r="Q66" s="78" t="n">
        <v>-0.03</v>
      </c>
      <c r="R66" s="96" t="inlineStr">
        <is>
          <t>-0.0410 to -0.0310</t>
        </is>
      </c>
      <c r="S66" s="96" t="inlineStr">
        <is>
          <t>0.0170 to 0.0350</t>
        </is>
      </c>
      <c r="T66" s="96" t="inlineStr">
        <is>
          <t>-0.0050 to -0.0007</t>
        </is>
      </c>
      <c r="U66" s="96" t="n"/>
    </row>
    <row r="67" ht="19.5" customHeight="1" s="111">
      <c r="A67" s="72" t="inlineStr">
        <is>
          <t>PILONCIL-CATARINA 138KV</t>
        </is>
      </c>
      <c r="B67" s="73" t="inlineStr">
        <is>
          <t>⚫ Low Priority</t>
        </is>
      </c>
      <c r="C67" s="77" t="n">
        <v>22056.9</v>
      </c>
      <c r="D67" s="75" t="inlineStr">
        <is>
          <t>HE22, HE20, HE21</t>
        </is>
      </c>
      <c r="E67" s="75" t="n"/>
      <c r="F67" s="59" t="n">
        <v>0.337</v>
      </c>
      <c r="G67" s="78" t="n">
        <v>-0.098</v>
      </c>
      <c r="H67" s="75" t="n"/>
      <c r="I67" s="75" t="n"/>
      <c r="J67" s="75" t="n"/>
      <c r="K67" s="75" t="n"/>
      <c r="L67" s="75" t="n"/>
      <c r="M67" s="75" t="n"/>
      <c r="N67" s="75" t="n"/>
      <c r="O67" s="75" t="n"/>
      <c r="P67" s="75" t="n"/>
      <c r="Q67" s="75" t="n"/>
      <c r="R67" s="95" t="inlineStr">
        <is>
          <t>0.0100</t>
        </is>
      </c>
      <c r="S67" s="95" t="inlineStr">
        <is>
          <t>—</t>
        </is>
      </c>
      <c r="T67" s="95" t="inlineStr">
        <is>
          <t>—</t>
        </is>
      </c>
      <c r="U67" s="95" t="n"/>
    </row>
    <row r="68" ht="19.5" customHeight="1" s="111">
      <c r="A68" s="72" t="inlineStr">
        <is>
          <t>W_BATESV-UVALDE 138KV</t>
        </is>
      </c>
      <c r="B68" s="73" t="inlineStr">
        <is>
          <t>⚫ Low Priority</t>
        </is>
      </c>
      <c r="C68" s="77" t="n">
        <v>12090.77</v>
      </c>
      <c r="D68" s="75" t="inlineStr">
        <is>
          <t>HE22, HE4, HE21</t>
        </is>
      </c>
      <c r="E68" s="75" t="n"/>
      <c r="F68" s="64" t="n">
        <v>-0.14975</v>
      </c>
      <c r="G68" s="78" t="n">
        <v>-0.06</v>
      </c>
      <c r="H68" s="59" t="n">
        <v>0.27526</v>
      </c>
      <c r="I68" s="59" t="n">
        <v>0.29993</v>
      </c>
      <c r="J68" s="75" t="n"/>
      <c r="K68" s="75" t="n"/>
      <c r="L68" s="75" t="n"/>
      <c r="M68" s="75" t="n"/>
      <c r="N68" s="75" t="n"/>
      <c r="O68" s="75" t="n"/>
      <c r="P68" s="75" t="n"/>
      <c r="Q68" s="75" t="n"/>
      <c r="R68" s="95" t="inlineStr">
        <is>
          <t>0.0100</t>
        </is>
      </c>
      <c r="S68" s="95" t="inlineStr">
        <is>
          <t>—</t>
        </is>
      </c>
      <c r="T68" s="95" t="inlineStr">
        <is>
          <t>-0.0250 to -0.0170</t>
        </is>
      </c>
      <c r="U68" s="95" t="n"/>
    </row>
    <row r="69" ht="19.5" customHeight="1" s="111">
      <c r="A69" s="72" t="inlineStr">
        <is>
          <t>VALEXP</t>
        </is>
      </c>
      <c r="B69" s="73" t="inlineStr">
        <is>
          <t>⚫ Low Priority</t>
        </is>
      </c>
      <c r="C69" s="77" t="n">
        <v>8226.780000000001</v>
      </c>
      <c r="D69" s="75" t="inlineStr">
        <is>
          <t>HE4, HE3, HE5</t>
        </is>
      </c>
      <c r="E69" s="75" t="n"/>
      <c r="F69" s="75" t="n"/>
      <c r="G69" s="75" t="n"/>
      <c r="H69" s="75" t="n"/>
      <c r="I69" s="75" t="n"/>
      <c r="J69" s="75" t="n"/>
      <c r="K69" s="75" t="n"/>
      <c r="L69" s="75" t="n"/>
      <c r="M69" s="64" t="n">
        <v>-0.98239</v>
      </c>
      <c r="N69" s="75" t="n"/>
      <c r="O69" s="75" t="n"/>
      <c r="P69" s="75" t="n"/>
      <c r="Q69" s="75" t="n"/>
      <c r="R69" s="95" t="inlineStr">
        <is>
          <t>0.0170</t>
        </is>
      </c>
      <c r="S69" s="95" t="inlineStr">
        <is>
          <t>0.0170</t>
        </is>
      </c>
      <c r="T69" s="95" t="inlineStr">
        <is>
          <t>0.0170</t>
        </is>
      </c>
      <c r="U69" s="95" t="n"/>
    </row>
    <row r="70" ht="19.5" customHeight="1" s="111">
      <c r="A70" s="72" t="inlineStr">
        <is>
          <t>MDO-PHR 345KV</t>
        </is>
      </c>
      <c r="B70" s="73" t="inlineStr">
        <is>
          <t>⚫ Low Priority</t>
        </is>
      </c>
      <c r="C70" s="77" t="n">
        <v>18172.47</v>
      </c>
      <c r="D70" s="75" t="inlineStr">
        <is>
          <t>HE16, HE14, HE15</t>
        </is>
      </c>
      <c r="E70" s="75" t="n"/>
      <c r="F70" s="78" t="n">
        <v>-0.091</v>
      </c>
      <c r="G70" s="78" t="n">
        <v>-0.096</v>
      </c>
      <c r="H70" s="78" t="n">
        <v>-0.06</v>
      </c>
      <c r="I70" s="78" t="n">
        <v>-0.077</v>
      </c>
      <c r="J70" s="75" t="n"/>
      <c r="K70" s="75" t="n"/>
      <c r="L70" s="75" t="n"/>
      <c r="M70" s="78" t="n">
        <v>-0.1</v>
      </c>
      <c r="N70" s="75" t="n"/>
      <c r="O70" s="75" t="n"/>
      <c r="P70" s="75" t="n"/>
      <c r="Q70" s="75" t="n"/>
      <c r="R70" s="95" t="inlineStr">
        <is>
          <t>-0.0200 to -0.0190</t>
        </is>
      </c>
      <c r="S70" s="95" t="inlineStr">
        <is>
          <t>—</t>
        </is>
      </c>
      <c r="T70" s="95" t="inlineStr">
        <is>
          <t>-0.0920 to -0.0680</t>
        </is>
      </c>
      <c r="U70" s="95" t="n"/>
    </row>
    <row r="71" ht="19.5" customHeight="1" s="111">
      <c r="A71" s="72" t="inlineStr">
        <is>
          <t>FTSSW-VENSW 345KV</t>
        </is>
      </c>
      <c r="B71" s="73" t="inlineStr">
        <is>
          <t>⚫ Low Priority</t>
        </is>
      </c>
      <c r="C71" s="77" t="n">
        <v>24101.09</v>
      </c>
      <c r="D71" s="75" t="inlineStr">
        <is>
          <t>HE16, HE15, HE17</t>
        </is>
      </c>
      <c r="E71" s="75" t="n"/>
      <c r="F71" s="78" t="n">
        <v>-0.0569</v>
      </c>
      <c r="G71" s="78" t="n">
        <v>-0.06</v>
      </c>
      <c r="H71" s="78" t="n">
        <v>-0.037</v>
      </c>
      <c r="I71" s="78" t="n">
        <v>-0.047</v>
      </c>
      <c r="J71" s="78" t="n">
        <v>-0.041</v>
      </c>
      <c r="K71" s="75" t="n"/>
      <c r="L71" s="75" t="n"/>
      <c r="M71" s="78" t="n">
        <v>-0.06</v>
      </c>
      <c r="N71" s="75" t="n"/>
      <c r="O71" s="75" t="n"/>
      <c r="P71" s="75" t="n"/>
      <c r="Q71" s="75" t="n"/>
      <c r="R71" s="95" t="inlineStr">
        <is>
          <t>—</t>
        </is>
      </c>
      <c r="S71" s="95" t="inlineStr">
        <is>
          <t>0.0680 to 0.0930</t>
        </is>
      </c>
      <c r="T71" s="95" t="inlineStr">
        <is>
          <t>-0.0610 to -0.0430</t>
        </is>
      </c>
      <c r="U71" s="95" t="n"/>
    </row>
    <row r="72" ht="19.5" customHeight="1" s="111">
      <c r="A72" s="72" t="inlineStr">
        <is>
          <t>NVKSW-ANARN 69KV</t>
        </is>
      </c>
      <c r="B72" s="73" t="inlineStr">
        <is>
          <t>⚫ Low Priority</t>
        </is>
      </c>
      <c r="C72" s="77" t="n">
        <v>13573.27</v>
      </c>
      <c r="D72" s="75" t="inlineStr">
        <is>
          <t>HE18, HE17, HE16</t>
        </is>
      </c>
      <c r="E72" s="75" t="n"/>
      <c r="F72" s="75" t="n"/>
      <c r="G72" s="75" t="n"/>
      <c r="H72" s="75" t="n"/>
      <c r="I72" s="75" t="n"/>
      <c r="J72" s="75" t="n"/>
      <c r="K72" s="75" t="n"/>
      <c r="L72" s="75" t="n"/>
      <c r="M72" s="75" t="n"/>
      <c r="N72" s="75" t="n"/>
      <c r="O72" s="75" t="n"/>
      <c r="P72" s="75" t="n"/>
      <c r="Q72" s="59" t="n">
        <v>0.476</v>
      </c>
      <c r="R72" s="93" t="inlineStr">
        <is>
          <t>—</t>
        </is>
      </c>
      <c r="S72" s="93" t="inlineStr">
        <is>
          <t>—</t>
        </is>
      </c>
      <c r="T72" s="93" t="inlineStr">
        <is>
          <t>—</t>
        </is>
      </c>
      <c r="U72" s="93" t="n"/>
    </row>
    <row r="73" ht="19.5" customHeight="1" s="111">
      <c r="A73" s="72" t="inlineStr">
        <is>
          <t>OZONA-MIDW 69KV</t>
        </is>
      </c>
      <c r="B73" s="73" t="inlineStr">
        <is>
          <t>⚫ Low Priority</t>
        </is>
      </c>
      <c r="C73" s="77" t="n">
        <v>89022.35000000001</v>
      </c>
      <c r="D73" s="75" t="inlineStr">
        <is>
          <t>HE16, HE15, HE13</t>
        </is>
      </c>
      <c r="E73" s="76" t="n">
        <v>0.06</v>
      </c>
      <c r="F73" s="75" t="n"/>
      <c r="G73" s="75" t="n"/>
      <c r="H73" s="75" t="n"/>
      <c r="I73" s="75" t="n"/>
      <c r="J73" s="75" t="n"/>
      <c r="K73" s="75" t="n"/>
      <c r="L73" s="75" t="n"/>
      <c r="M73" s="75" t="n"/>
      <c r="N73" s="75" t="n"/>
      <c r="O73" s="75" t="n"/>
      <c r="P73" s="75" t="n"/>
      <c r="Q73" s="75" t="n"/>
      <c r="R73" s="95" t="inlineStr">
        <is>
          <t>-0.0016 to -0.0007</t>
        </is>
      </c>
      <c r="S73" s="95" t="inlineStr">
        <is>
          <t>—</t>
        </is>
      </c>
      <c r="T73" s="95" t="inlineStr">
        <is>
          <t>-0.0003 to -0.0001</t>
        </is>
      </c>
      <c r="U73" s="95" t="n"/>
    </row>
    <row r="74" ht="19.5" customHeight="1" s="111">
      <c r="A74" s="72" t="inlineStr">
        <is>
          <t>TMPSW-TMPCR 345KV</t>
        </is>
      </c>
      <c r="B74" s="73" t="inlineStr">
        <is>
          <t>⚫ Low Priority</t>
        </is>
      </c>
      <c r="C74" s="77" t="n">
        <v>6604.19</v>
      </c>
      <c r="D74" s="75" t="inlineStr">
        <is>
          <t>HE21, HE20, HE4</t>
        </is>
      </c>
      <c r="E74" s="75" t="n"/>
      <c r="F74" s="78" t="n">
        <v>-0.09320000000000001</v>
      </c>
      <c r="G74" s="78" t="n">
        <v>-0.0997</v>
      </c>
      <c r="H74" s="78" t="n">
        <v>-0.05</v>
      </c>
      <c r="I74" s="78" t="n">
        <v>-0.0737</v>
      </c>
      <c r="J74" s="78" t="n">
        <v>-0.061</v>
      </c>
      <c r="K74" s="75" t="n"/>
      <c r="L74" s="75" t="n"/>
      <c r="M74" s="78" t="n">
        <v>-0.09909999999999999</v>
      </c>
      <c r="N74" s="78" t="n">
        <v>-0.045</v>
      </c>
      <c r="O74" s="76" t="n">
        <v>0.07099999999999999</v>
      </c>
      <c r="P74" s="76" t="n">
        <v>0.082</v>
      </c>
      <c r="Q74" s="76" t="n">
        <v>0.081</v>
      </c>
      <c r="R74" s="95" t="inlineStr">
        <is>
          <t>0.0200 to 0.0320</t>
        </is>
      </c>
      <c r="S74" s="95" t="inlineStr">
        <is>
          <t>0.0820 to 0.1000</t>
        </is>
      </c>
      <c r="T74" s="95" t="inlineStr">
        <is>
          <t>-0.1000 to -0.0770</t>
        </is>
      </c>
      <c r="U74" s="95" t="n"/>
    </row>
    <row r="75" ht="19.5" customHeight="1" s="111">
      <c r="A75" s="72" t="inlineStr">
        <is>
          <t>ZEN-THW 345KV</t>
        </is>
      </c>
      <c r="B75" s="73" t="inlineStr">
        <is>
          <t>⚫ Low Priority</t>
        </is>
      </c>
      <c r="C75" s="77" t="n">
        <v>10819.9</v>
      </c>
      <c r="D75" s="75" t="inlineStr">
        <is>
          <t>HE15, HE14, HE16</t>
        </is>
      </c>
      <c r="E75" s="78" t="n">
        <v>-0.07199999999999999</v>
      </c>
      <c r="F75" s="75" t="n"/>
      <c r="G75" s="75" t="n"/>
      <c r="H75" s="75" t="n"/>
      <c r="I75" s="75" t="n"/>
      <c r="J75" s="78" t="n">
        <v>-0.053</v>
      </c>
      <c r="K75" s="78" t="n">
        <v>-0.077</v>
      </c>
      <c r="L75" s="78" t="n">
        <v>-0.075</v>
      </c>
      <c r="M75" s="75" t="n"/>
      <c r="N75" s="61" t="n">
        <v>0.12782</v>
      </c>
      <c r="O75" s="64" t="n">
        <v>-0.84</v>
      </c>
      <c r="P75" s="78" t="n">
        <v>-0.1</v>
      </c>
      <c r="Q75" s="78" t="n">
        <v>-0.08</v>
      </c>
      <c r="R75" s="96" t="inlineStr">
        <is>
          <t>-0.0480 to -0.0420</t>
        </is>
      </c>
      <c r="S75" s="96" t="inlineStr">
        <is>
          <t>-0.0620 to -0.0570</t>
        </is>
      </c>
      <c r="T75" s="96" t="inlineStr">
        <is>
          <t>0.0210</t>
        </is>
      </c>
      <c r="U75" s="96" t="n"/>
    </row>
    <row r="76" ht="19.5" customHeight="1" s="111">
      <c r="A76" s="72" t="inlineStr">
        <is>
          <t>DOW-OAS 345KV</t>
        </is>
      </c>
      <c r="B76" s="73" t="inlineStr">
        <is>
          <t>⚫ Low Priority</t>
        </is>
      </c>
      <c r="C76" s="77" t="n">
        <v>8240.51</v>
      </c>
      <c r="D76" s="75" t="inlineStr">
        <is>
          <t>HE14, HE16, HE15</t>
        </is>
      </c>
      <c r="E76" s="75" t="n"/>
      <c r="F76" s="78" t="n">
        <v>-0.0722</v>
      </c>
      <c r="G76" s="78" t="n">
        <v>-0.07679999999999999</v>
      </c>
      <c r="H76" s="78" t="n">
        <v>-0.048</v>
      </c>
      <c r="I76" s="78" t="n">
        <v>-0.0599</v>
      </c>
      <c r="J76" s="78" t="n">
        <v>-0.034</v>
      </c>
      <c r="K76" s="75" t="n"/>
      <c r="L76" s="75" t="n"/>
      <c r="M76" s="78" t="n">
        <v>-0.0823</v>
      </c>
      <c r="N76" s="61" t="n">
        <v>0.1758</v>
      </c>
      <c r="O76" s="75" t="n"/>
      <c r="P76" s="75" t="n"/>
      <c r="Q76" s="75" t="n"/>
      <c r="R76" s="95" t="inlineStr">
        <is>
          <t>-0.0140 to -0.0110</t>
        </is>
      </c>
      <c r="S76" s="95" t="inlineStr">
        <is>
          <t>0.0100 to 0.0300</t>
        </is>
      </c>
      <c r="T76" s="95" t="inlineStr">
        <is>
          <t>-0.1300 to -0.0750</t>
        </is>
      </c>
      <c r="U76" s="95" t="n"/>
    </row>
    <row r="77" ht="19.5" customHeight="1" s="111">
      <c r="A77" s="72" t="inlineStr">
        <is>
          <t>MAVERICK-HAMILTON 138KV</t>
        </is>
      </c>
      <c r="B77" s="73" t="inlineStr">
        <is>
          <t>⚫ Low Priority</t>
        </is>
      </c>
      <c r="C77" s="77" t="n">
        <v>5230.46</v>
      </c>
      <c r="D77" s="75" t="inlineStr">
        <is>
          <t>HE2, HE4, HE3</t>
        </is>
      </c>
      <c r="E77" s="76" t="n">
        <v>0.05256</v>
      </c>
      <c r="F77" s="78" t="n">
        <v>-0.08935999999999999</v>
      </c>
      <c r="G77" s="75" t="n"/>
      <c r="H77" s="59" t="n">
        <v>0.40605</v>
      </c>
      <c r="I77" s="64" t="n">
        <v>-0.25822</v>
      </c>
      <c r="J77" s="75" t="n"/>
      <c r="K77" s="75" t="n"/>
      <c r="L77" s="75" t="n"/>
      <c r="M77" s="75" t="n"/>
      <c r="N77" s="75" t="n"/>
      <c r="O77" s="75" t="n"/>
      <c r="P77" s="75" t="n"/>
      <c r="Q77" s="75" t="n"/>
      <c r="R77" s="95" t="inlineStr">
        <is>
          <t>0.0170</t>
        </is>
      </c>
      <c r="S77" s="95" t="inlineStr">
        <is>
          <t>—</t>
        </is>
      </c>
      <c r="T77" s="95" t="inlineStr">
        <is>
          <t>-0.0175 to -0.0138</t>
        </is>
      </c>
      <c r="U77" s="95" t="n"/>
    </row>
    <row r="78" ht="19.5" customHeight="1" s="111">
      <c r="A78" s="72" t="inlineStr">
        <is>
          <t>SNDSW-AUSTRO 345KV</t>
        </is>
      </c>
      <c r="B78" s="73" t="inlineStr">
        <is>
          <t>⚫ Low Priority</t>
        </is>
      </c>
      <c r="C78" s="77" t="n">
        <v>3314.01</v>
      </c>
      <c r="D78" s="75" t="inlineStr">
        <is>
          <t>HE16, HE17, HE15</t>
        </is>
      </c>
      <c r="E78" s="78" t="n">
        <v>-0.06347999999999999</v>
      </c>
      <c r="F78" s="61" t="n">
        <v>0.14059</v>
      </c>
      <c r="G78" s="61" t="n">
        <v>0.15042</v>
      </c>
      <c r="H78" s="76" t="n">
        <v>0.08799999999999999</v>
      </c>
      <c r="I78" s="61" t="n">
        <v>0.11442</v>
      </c>
      <c r="J78" s="75" t="n"/>
      <c r="K78" s="78" t="n">
        <v>-0.07518</v>
      </c>
      <c r="L78" s="78" t="n">
        <v>-0.07016</v>
      </c>
      <c r="M78" s="61" t="n">
        <v>0.14762</v>
      </c>
      <c r="N78" s="75" t="n"/>
      <c r="O78" s="78" t="n">
        <v>-0.09626</v>
      </c>
      <c r="P78" s="78" t="n">
        <v>-0.09504</v>
      </c>
      <c r="Q78" s="78" t="n">
        <v>-0.099</v>
      </c>
      <c r="R78" s="96" t="inlineStr">
        <is>
          <t>-0.0780 to -0.0700</t>
        </is>
      </c>
      <c r="S78" s="96" t="inlineStr">
        <is>
          <t>-0.1000 to -0.0950</t>
        </is>
      </c>
      <c r="T78" s="96" t="inlineStr">
        <is>
          <t>0.1000 to 0.1538</t>
        </is>
      </c>
      <c r="U78" s="96" t="n"/>
    </row>
    <row r="79" ht="19.5" customHeight="1" s="111">
      <c r="A79" s="72" t="inlineStr">
        <is>
          <t>GANSO-MAVERICK 138KV</t>
        </is>
      </c>
      <c r="B79" s="73" t="inlineStr">
        <is>
          <t>⚫ Low Priority</t>
        </is>
      </c>
      <c r="C79" s="77" t="n">
        <v>6314.84</v>
      </c>
      <c r="D79" s="75" t="inlineStr">
        <is>
          <t>HE4, HE6, HE5</t>
        </is>
      </c>
      <c r="E79" s="75" t="n"/>
      <c r="F79" s="78" t="n">
        <v>-0.09232</v>
      </c>
      <c r="G79" s="78" t="n">
        <v>-0.04424</v>
      </c>
      <c r="H79" s="59" t="n">
        <v>0.40193</v>
      </c>
      <c r="I79" s="75" t="n"/>
      <c r="J79" s="75" t="n"/>
      <c r="K79" s="75" t="n"/>
      <c r="L79" s="75" t="n"/>
      <c r="M79" s="75" t="n"/>
      <c r="N79" s="75" t="n"/>
      <c r="O79" s="75" t="n"/>
      <c r="P79" s="75" t="n"/>
      <c r="Q79" s="75" t="n"/>
      <c r="R79" s="95" t="inlineStr">
        <is>
          <t>0.0200 to 0.0300</t>
        </is>
      </c>
      <c r="S79" s="95" t="inlineStr">
        <is>
          <t>—</t>
        </is>
      </c>
      <c r="T79" s="95" t="inlineStr">
        <is>
          <t>-0.0230 to -0.0190</t>
        </is>
      </c>
      <c r="U79" s="95" t="n"/>
    </row>
    <row r="80" ht="19.5" customHeight="1" s="111">
      <c r="A80" s="72" t="inlineStr">
        <is>
          <t>RIOHONDO-MV_BURNS 138KV</t>
        </is>
      </c>
      <c r="B80" s="73" t="inlineStr">
        <is>
          <t>⚫ Low Priority</t>
        </is>
      </c>
      <c r="C80" s="77" t="n">
        <v>16376.64</v>
      </c>
      <c r="D80" s="75" t="inlineStr">
        <is>
          <t>HE18, HE17, HE19</t>
        </is>
      </c>
      <c r="E80" s="75" t="n"/>
      <c r="F80" s="75" t="n"/>
      <c r="G80" s="75" t="n"/>
      <c r="H80" s="75" t="n"/>
      <c r="I80" s="75" t="n"/>
      <c r="J80" s="75" t="n"/>
      <c r="K80" s="75" t="n"/>
      <c r="L80" s="75" t="n"/>
      <c r="M80" s="61" t="n">
        <v>0.1976</v>
      </c>
      <c r="N80" s="75" t="n"/>
      <c r="O80" s="75" t="n"/>
      <c r="P80" s="75" t="n"/>
      <c r="Q80" s="75" t="n"/>
      <c r="R80" s="95" t="inlineStr">
        <is>
          <t>—</t>
        </is>
      </c>
      <c r="S80" s="95" t="inlineStr">
        <is>
          <t>—</t>
        </is>
      </c>
      <c r="T80" s="95" t="inlineStr">
        <is>
          <t>0.0470</t>
        </is>
      </c>
      <c r="U80" s="95" t="inlineStr">
        <is>
          <t>Falfurrias (Coastal): +0.0470</t>
        </is>
      </c>
    </row>
    <row r="81" ht="19.5" customHeight="1" s="111">
      <c r="A81" s="72" t="inlineStr">
        <is>
          <t>MADDUX-SAPOWER 138KV</t>
        </is>
      </c>
      <c r="B81" s="73" t="inlineStr">
        <is>
          <t>⚫ Low Priority</t>
        </is>
      </c>
      <c r="C81" s="77" t="n">
        <v>4392.44</v>
      </c>
      <c r="D81" s="75" t="inlineStr">
        <is>
          <t>HE7, HE8, HE6</t>
        </is>
      </c>
      <c r="E81" s="78" t="n">
        <v>-0.06950000000000001</v>
      </c>
      <c r="F81" s="75" t="n"/>
      <c r="G81" s="75" t="n"/>
      <c r="H81" s="64" t="n">
        <v>-0.11666</v>
      </c>
      <c r="I81" s="78" t="n">
        <v>-0.07369000000000001</v>
      </c>
      <c r="J81" s="64" t="n">
        <v>-0.33601</v>
      </c>
      <c r="K81" s="75" t="n"/>
      <c r="L81" s="75" t="n"/>
      <c r="M81" s="75" t="n"/>
      <c r="N81" s="75" t="n"/>
      <c r="O81" s="75" t="n"/>
      <c r="P81" s="75" t="n"/>
      <c r="Q81" s="75" t="n"/>
      <c r="R81" s="95" t="inlineStr">
        <is>
          <t>—</t>
        </is>
      </c>
      <c r="S81" s="95" t="inlineStr">
        <is>
          <t>—</t>
        </is>
      </c>
      <c r="T81" s="95" t="inlineStr">
        <is>
          <t>-0.0100</t>
        </is>
      </c>
      <c r="U81" s="95" t="n"/>
    </row>
    <row r="82" ht="19.5" customHeight="1" s="111">
      <c r="A82" s="72" t="inlineStr">
        <is>
          <t>MILLER-HENLY 138KV</t>
        </is>
      </c>
      <c r="B82" s="73" t="inlineStr">
        <is>
          <t>⚫ Low Priority</t>
        </is>
      </c>
      <c r="C82" s="77" t="n">
        <v>23333.33</v>
      </c>
      <c r="D82" s="75" t="inlineStr">
        <is>
          <t>HE17, HE18, HE19</t>
        </is>
      </c>
      <c r="E82" s="75" t="n"/>
      <c r="F82" s="75" t="n"/>
      <c r="G82" s="75" t="n"/>
      <c r="H82" s="75" t="n"/>
      <c r="I82" s="75" t="n"/>
      <c r="J82" s="64" t="n">
        <v>-0.11</v>
      </c>
      <c r="K82" s="75" t="n"/>
      <c r="L82" s="75" t="n"/>
      <c r="M82" s="75" t="n"/>
      <c r="N82" s="75" t="n"/>
      <c r="O82" s="75" t="n"/>
      <c r="P82" s="75" t="n"/>
      <c r="Q82" s="75" t="n"/>
      <c r="R82" s="95" t="inlineStr">
        <is>
          <t>-0.0100</t>
        </is>
      </c>
      <c r="S82" s="95" t="inlineStr">
        <is>
          <t>—</t>
        </is>
      </c>
      <c r="T82" s="95" t="inlineStr">
        <is>
          <t>—</t>
        </is>
      </c>
      <c r="U82" s="95" t="n"/>
    </row>
    <row r="83" ht="19.5" customHeight="1" s="111">
      <c r="A83" s="72" t="inlineStr">
        <is>
          <t>ODESA-ODNTH 138KV</t>
        </is>
      </c>
      <c r="B83" s="73" t="inlineStr">
        <is>
          <t>⚫ Low Priority</t>
        </is>
      </c>
      <c r="C83" s="77" t="n">
        <v>32001.33</v>
      </c>
      <c r="D83" s="75" t="inlineStr">
        <is>
          <t>HE23, HE5, HE22</t>
        </is>
      </c>
      <c r="E83" s="75" t="n"/>
      <c r="F83" s="75" t="n"/>
      <c r="G83" s="75" t="n"/>
      <c r="H83" s="75" t="n"/>
      <c r="I83" s="75" t="n"/>
      <c r="J83" s="75" t="n"/>
      <c r="K83" s="75" t="n"/>
      <c r="L83" s="76" t="n">
        <v>0.08</v>
      </c>
      <c r="M83" s="75" t="n"/>
      <c r="N83" s="75" t="n"/>
      <c r="O83" s="75" t="n"/>
      <c r="P83" s="75" t="n"/>
      <c r="Q83" s="75" t="n"/>
      <c r="R83" s="95" t="inlineStr">
        <is>
          <t>-0.0280 to 0.1000</t>
        </is>
      </c>
      <c r="S83" s="95" t="inlineStr">
        <is>
          <t>-0.0100 to -0.0080</t>
        </is>
      </c>
      <c r="T83" s="95" t="inlineStr">
        <is>
          <t>-0.0050 to -0.0040</t>
        </is>
      </c>
      <c r="U83" s="95" t="n"/>
    </row>
    <row r="84" ht="19.5" customHeight="1" s="111">
      <c r="A84" s="72" t="inlineStr">
        <is>
          <t>CPSES-MBDSW 345KV</t>
        </is>
      </c>
      <c r="B84" s="73" t="inlineStr">
        <is>
          <t>⚫ Low Priority</t>
        </is>
      </c>
      <c r="C84" s="77" t="n">
        <v>11040.17</v>
      </c>
      <c r="D84" s="75" t="inlineStr">
        <is>
          <t>HE20, HE1, HE7</t>
        </is>
      </c>
      <c r="E84" s="78" t="n">
        <v>-0.06</v>
      </c>
      <c r="F84" s="75" t="n"/>
      <c r="G84" s="75" t="n"/>
      <c r="H84" s="75" t="n"/>
      <c r="I84" s="75" t="n"/>
      <c r="J84" s="78" t="n">
        <v>-0.045</v>
      </c>
      <c r="K84" s="78" t="n">
        <v>-0.059</v>
      </c>
      <c r="L84" s="78" t="n">
        <v>-0.058</v>
      </c>
      <c r="M84" s="75" t="n"/>
      <c r="N84" s="75" t="n"/>
      <c r="O84" s="75" t="n"/>
      <c r="P84" s="75" t="n"/>
      <c r="Q84" s="75" t="n"/>
      <c r="R84" s="95" t="inlineStr">
        <is>
          <t>-0.0580 to -0.0570</t>
        </is>
      </c>
      <c r="S84" s="95" t="inlineStr">
        <is>
          <t>0.0260 to 0.0340</t>
        </is>
      </c>
      <c r="T84" s="95" t="inlineStr">
        <is>
          <t>—</t>
        </is>
      </c>
      <c r="U84" s="95" t="n"/>
    </row>
    <row r="85" ht="19.5" customHeight="1" s="111">
      <c r="A85" s="72" t="inlineStr">
        <is>
          <t>SMITHERS-BI 345KV</t>
        </is>
      </c>
      <c r="B85" s="73" t="inlineStr">
        <is>
          <t>⚫ Low Priority</t>
        </is>
      </c>
      <c r="C85" s="77" t="n">
        <v>5229.02</v>
      </c>
      <c r="D85" s="75" t="inlineStr">
        <is>
          <t>HE19, HE18, HE17</t>
        </is>
      </c>
      <c r="E85" s="75" t="n"/>
      <c r="F85" s="78" t="n">
        <v>-0.03961</v>
      </c>
      <c r="G85" s="78" t="n">
        <v>-0.04352</v>
      </c>
      <c r="H85" s="75" t="n"/>
      <c r="I85" s="64" t="n">
        <v>-0.326</v>
      </c>
      <c r="J85" s="75" t="n"/>
      <c r="K85" s="75" t="n"/>
      <c r="L85" s="75" t="n"/>
      <c r="M85" s="78" t="n">
        <v>-0.049</v>
      </c>
      <c r="N85" s="75" t="n"/>
      <c r="O85" s="75" t="n"/>
      <c r="P85" s="75" t="n"/>
      <c r="Q85" s="75" t="n"/>
      <c r="R85" s="95" t="inlineStr">
        <is>
          <t>—</t>
        </is>
      </c>
      <c r="S85" s="95" t="inlineStr">
        <is>
          <t>0.0100</t>
        </is>
      </c>
      <c r="T85" s="95" t="inlineStr">
        <is>
          <t>-0.0580 to -0.0400</t>
        </is>
      </c>
      <c r="U85" s="95" t="n"/>
    </row>
    <row r="86" ht="19.5" customHeight="1" s="111">
      <c r="A86" s="72" t="inlineStr">
        <is>
          <t>KENDAL-BERGHE 345KV</t>
        </is>
      </c>
      <c r="B86" s="73" t="inlineStr">
        <is>
          <t>⚫ Low Priority</t>
        </is>
      </c>
      <c r="C86" s="77" t="n">
        <v>2556.79</v>
      </c>
      <c r="D86" s="75" t="inlineStr">
        <is>
          <t>HE14, HE13, HE12</t>
        </is>
      </c>
      <c r="E86" s="64" t="n">
        <v>-0.13825</v>
      </c>
      <c r="F86" s="76" t="n">
        <v>0.07976999999999999</v>
      </c>
      <c r="G86" s="76" t="n">
        <v>0.09654</v>
      </c>
      <c r="H86" s="75" t="n"/>
      <c r="I86" s="75" t="n"/>
      <c r="J86" s="64" t="n">
        <v>-0.15722</v>
      </c>
      <c r="K86" s="64" t="n">
        <v>-0.13169</v>
      </c>
      <c r="L86" s="64" t="n">
        <v>-0.14458</v>
      </c>
      <c r="M86" s="61" t="n">
        <v>0.10349</v>
      </c>
      <c r="N86" s="75" t="n"/>
      <c r="O86" s="75" t="n"/>
      <c r="P86" s="75" t="n"/>
      <c r="Q86" s="75" t="n"/>
      <c r="R86" s="95" t="inlineStr">
        <is>
          <t>-0.1300 to -0.1200</t>
        </is>
      </c>
      <c r="S86" s="95" t="inlineStr">
        <is>
          <t>-0.0340 to -0.0130</t>
        </is>
      </c>
      <c r="T86" s="95" t="inlineStr">
        <is>
          <t>0.0540 to 0.0760</t>
        </is>
      </c>
      <c r="U86" s="95" t="n"/>
    </row>
    <row r="87" ht="19.5" customHeight="1" s="111">
      <c r="A87" s="72" t="inlineStr">
        <is>
          <t>DOWNIES-MOORE 138KV</t>
        </is>
      </c>
      <c r="B87" s="73" t="inlineStr">
        <is>
          <t>⚫ Low Priority</t>
        </is>
      </c>
      <c r="C87" s="77" t="n">
        <v>5209.02</v>
      </c>
      <c r="D87" s="75" t="inlineStr">
        <is>
          <t>HE14, HE16, HE15</t>
        </is>
      </c>
      <c r="E87" s="75" t="n"/>
      <c r="F87" s="78" t="n">
        <v>-0.06</v>
      </c>
      <c r="G87" s="75" t="n"/>
      <c r="H87" s="64" t="n">
        <v>-0.15515</v>
      </c>
      <c r="I87" s="64" t="n">
        <v>-0.18205</v>
      </c>
      <c r="J87" s="75" t="n"/>
      <c r="K87" s="75" t="n"/>
      <c r="L87" s="75" t="n"/>
      <c r="M87" s="75" t="n"/>
      <c r="N87" s="75" t="n"/>
      <c r="O87" s="75" t="n"/>
      <c r="P87" s="75" t="n"/>
      <c r="Q87" s="75" t="n"/>
      <c r="R87" s="95" t="inlineStr">
        <is>
          <t>—</t>
        </is>
      </c>
      <c r="S87" s="95" t="inlineStr">
        <is>
          <t>—</t>
        </is>
      </c>
      <c r="T87" s="95" t="inlineStr">
        <is>
          <t>—</t>
        </is>
      </c>
      <c r="U87" s="95" t="n"/>
    </row>
    <row r="88" ht="19.5" customHeight="1" s="111">
      <c r="A88" s="72" t="inlineStr">
        <is>
          <t>TNFXTAIL-FLAT_TOP 138KV</t>
        </is>
      </c>
      <c r="B88" s="73" t="inlineStr">
        <is>
          <t>⚫ Low Priority</t>
        </is>
      </c>
      <c r="C88" s="77" t="n">
        <v>6210.06</v>
      </c>
      <c r="D88" s="75" t="inlineStr">
        <is>
          <t>HE17, HE16, HE15</t>
        </is>
      </c>
      <c r="E88" s="75" t="n"/>
      <c r="F88" s="75" t="n"/>
      <c r="G88" s="75" t="n"/>
      <c r="H88" s="75" t="n"/>
      <c r="I88" s="75" t="n"/>
      <c r="J88" s="75" t="n"/>
      <c r="K88" s="76" t="n">
        <v>0.016</v>
      </c>
      <c r="L88" s="59" t="n">
        <v>0.31332</v>
      </c>
      <c r="M88" s="75" t="n"/>
      <c r="N88" s="75" t="n"/>
      <c r="O88" s="75" t="n"/>
      <c r="P88" s="75" t="n"/>
      <c r="Q88" s="75" t="n"/>
      <c r="R88" s="95" t="inlineStr">
        <is>
          <t>-0.1000 to 0.2010</t>
        </is>
      </c>
      <c r="S88" s="95" t="inlineStr">
        <is>
          <t>—</t>
        </is>
      </c>
      <c r="T88" s="95" t="inlineStr">
        <is>
          <t>—</t>
        </is>
      </c>
      <c r="U88" s="95" t="n"/>
    </row>
    <row r="89" ht="19.5" customHeight="1" s="111">
      <c r="A89" s="72" t="inlineStr">
        <is>
          <t>EXCSW-RNKSW 345KV</t>
        </is>
      </c>
      <c r="B89" s="73" t="inlineStr">
        <is>
          <t>⚫ Low Priority</t>
        </is>
      </c>
      <c r="C89" s="77" t="n">
        <v>3663.34</v>
      </c>
      <c r="D89" s="75" t="inlineStr">
        <is>
          <t>HE20, HE21, HE19</t>
        </is>
      </c>
      <c r="E89" s="78" t="n">
        <v>-0.0582</v>
      </c>
      <c r="F89" s="75" t="n"/>
      <c r="G89" s="75" t="n"/>
      <c r="H89" s="78" t="n">
        <v>-0.039</v>
      </c>
      <c r="I89" s="78" t="n">
        <v>-0.032</v>
      </c>
      <c r="J89" s="78" t="n">
        <v>-0.0429</v>
      </c>
      <c r="K89" s="78" t="n">
        <v>-0.064</v>
      </c>
      <c r="L89" s="78" t="n">
        <v>-0.062</v>
      </c>
      <c r="M89" s="75" t="n"/>
      <c r="N89" s="75" t="n"/>
      <c r="O89" s="78" t="n">
        <v>-0.066</v>
      </c>
      <c r="P89" s="76" t="n">
        <v>0.04448</v>
      </c>
      <c r="Q89" s="78" t="n">
        <v>-0.068</v>
      </c>
      <c r="R89" s="96" t="inlineStr">
        <is>
          <t>-0.0660 to -0.0610</t>
        </is>
      </c>
      <c r="S89" s="96" t="inlineStr">
        <is>
          <t>0.0390 to 0.1120</t>
        </is>
      </c>
      <c r="T89" s="96" t="inlineStr">
        <is>
          <t>-0.0220 to -0.0120</t>
        </is>
      </c>
      <c r="U89" s="96" t="inlineStr">
        <is>
          <t>Farmersville (North): +0.1120</t>
        </is>
      </c>
    </row>
    <row r="90" ht="19.5" customHeight="1" s="111">
      <c r="A90" s="72" t="inlineStr">
        <is>
          <t>SAMSW-FVLSW 345KV</t>
        </is>
      </c>
      <c r="B90" s="73" t="inlineStr">
        <is>
          <t>⚫ Low Priority</t>
        </is>
      </c>
      <c r="C90" s="77" t="n">
        <v>4333.4</v>
      </c>
      <c r="D90" s="75" t="inlineStr">
        <is>
          <t>HE12, HE11, HE10</t>
        </is>
      </c>
      <c r="E90" s="75" t="n"/>
      <c r="F90" s="78" t="n">
        <v>-0.05577</v>
      </c>
      <c r="G90" s="78" t="n">
        <v>-0.05843</v>
      </c>
      <c r="H90" s="78" t="n">
        <v>-0.04</v>
      </c>
      <c r="I90" s="78" t="n">
        <v>-0.04823</v>
      </c>
      <c r="J90" s="75" t="n"/>
      <c r="K90" s="75" t="n"/>
      <c r="L90" s="75" t="n"/>
      <c r="M90" s="78" t="n">
        <v>-0.05925</v>
      </c>
      <c r="N90" s="75" t="n"/>
      <c r="O90" s="76" t="n">
        <v>0.0357</v>
      </c>
      <c r="P90" s="76" t="n">
        <v>0.04524</v>
      </c>
      <c r="Q90" s="76" t="n">
        <v>0.05485</v>
      </c>
      <c r="R90" s="95" t="inlineStr">
        <is>
          <t>0.0130</t>
        </is>
      </c>
      <c r="S90" s="95" t="inlineStr">
        <is>
          <t>0.0450 to 0.0770</t>
        </is>
      </c>
      <c r="T90" s="95" t="inlineStr">
        <is>
          <t>-0.0590 to -0.0490</t>
        </is>
      </c>
      <c r="U90" s="95" t="n"/>
    </row>
    <row r="91" ht="19.5" customHeight="1" s="111">
      <c r="A91" s="72" t="inlineStr">
        <is>
          <t>TNP_ONE-TOKSW 345KV</t>
        </is>
      </c>
      <c r="B91" s="73" t="inlineStr">
        <is>
          <t>⚫ Low Priority</t>
        </is>
      </c>
      <c r="C91" s="77" t="n">
        <v>3348.1</v>
      </c>
      <c r="D91" s="75" t="inlineStr">
        <is>
          <t>HE15, HE14, HE13</t>
        </is>
      </c>
      <c r="E91" s="75" t="n"/>
      <c r="F91" s="78" t="n">
        <v>-0.06355</v>
      </c>
      <c r="G91" s="78" t="n">
        <v>-0.06213</v>
      </c>
      <c r="H91" s="78" t="n">
        <v>-0.05766</v>
      </c>
      <c r="I91" s="78" t="n">
        <v>-0.0614</v>
      </c>
      <c r="J91" s="78" t="n">
        <v>-0.07546</v>
      </c>
      <c r="K91" s="75" t="n"/>
      <c r="L91" s="75" t="n"/>
      <c r="M91" s="78" t="n">
        <v>-0.0542</v>
      </c>
      <c r="N91" s="76" t="n">
        <v>0.06594</v>
      </c>
      <c r="O91" s="75" t="n"/>
      <c r="P91" s="76" t="n">
        <v>0.06361</v>
      </c>
      <c r="Q91" s="75" t="n"/>
      <c r="R91" s="95" t="inlineStr">
        <is>
          <t>-0.0390 to -0.0330</t>
        </is>
      </c>
      <c r="S91" s="95" t="inlineStr">
        <is>
          <t>0.0330 to 0.0630</t>
        </is>
      </c>
      <c r="T91" s="95" t="inlineStr">
        <is>
          <t>-0.0680 to -0.0470</t>
        </is>
      </c>
      <c r="U91" s="95" t="n"/>
    </row>
    <row r="92" ht="19.5" customHeight="1" s="111">
      <c r="A92" s="72" t="inlineStr">
        <is>
          <t>GT-BG 138KV</t>
        </is>
      </c>
      <c r="B92" s="73" t="inlineStr">
        <is>
          <t>⚫ Low Priority</t>
        </is>
      </c>
      <c r="C92" s="77" t="n">
        <v>11356.14</v>
      </c>
      <c r="D92" s="75" t="inlineStr">
        <is>
          <t>HE17, HE16, HE12</t>
        </is>
      </c>
      <c r="E92" s="75" t="n"/>
      <c r="F92" s="75" t="n"/>
      <c r="G92" s="75" t="n"/>
      <c r="H92" s="75" t="n"/>
      <c r="I92" s="75" t="n"/>
      <c r="J92" s="75" t="n"/>
      <c r="K92" s="75" t="n"/>
      <c r="L92" s="75" t="n"/>
      <c r="M92" s="75" t="n"/>
      <c r="N92" s="61" t="n">
        <v>0.14257</v>
      </c>
      <c r="O92" s="75" t="n"/>
      <c r="P92" s="75" t="n"/>
      <c r="Q92" s="75" t="n"/>
      <c r="R92" s="95" t="inlineStr">
        <is>
          <t>-0.0100</t>
        </is>
      </c>
      <c r="S92" s="95" t="inlineStr">
        <is>
          <t>-0.0100</t>
        </is>
      </c>
      <c r="T92" s="95" t="inlineStr">
        <is>
          <t>-0.0100</t>
        </is>
      </c>
      <c r="U92" s="95" t="n"/>
    </row>
    <row r="93" ht="19.5" customHeight="1" s="111">
      <c r="A93" s="72" t="inlineStr">
        <is>
          <t>I_KALO</t>
        </is>
      </c>
      <c r="B93" s="73" t="inlineStr">
        <is>
          <t>⚫ Low Priority</t>
        </is>
      </c>
      <c r="C93" s="77" t="n">
        <v>4724.22</v>
      </c>
      <c r="D93" s="75" t="inlineStr">
        <is>
          <t>HE13, HE15, HE14</t>
        </is>
      </c>
      <c r="E93" s="75" t="n"/>
      <c r="F93" s="75" t="n"/>
      <c r="G93" s="76" t="n">
        <v>0.065</v>
      </c>
      <c r="H93" s="75" t="n"/>
      <c r="I93" s="75" t="n"/>
      <c r="J93" s="75" t="n"/>
      <c r="K93" s="75" t="n"/>
      <c r="L93" s="75" t="n"/>
      <c r="M93" s="59" t="n">
        <v>0.25691</v>
      </c>
      <c r="N93" s="75" t="n"/>
      <c r="O93" s="75" t="n"/>
      <c r="P93" s="75" t="n"/>
      <c r="Q93" s="75" t="n"/>
      <c r="R93" s="95" t="inlineStr">
        <is>
          <t>-0.0240</t>
        </is>
      </c>
      <c r="S93" s="95" t="inlineStr">
        <is>
          <t>-0.0230</t>
        </is>
      </c>
      <c r="T93" s="95" t="inlineStr">
        <is>
          <t>0.1990 to 0.3320</t>
        </is>
      </c>
      <c r="U93" s="95" t="n"/>
    </row>
    <row r="94" ht="19.5" customHeight="1" s="111">
      <c r="A94" s="72" t="inlineStr">
        <is>
          <t>BLESSING 345KV</t>
        </is>
      </c>
      <c r="B94" s="73" t="inlineStr">
        <is>
          <t>⚫ Low Priority</t>
        </is>
      </c>
      <c r="C94" s="77" t="n">
        <v>14518.22</v>
      </c>
      <c r="D94" s="75" t="inlineStr">
        <is>
          <t>HE22, HE9, HE7</t>
        </is>
      </c>
      <c r="E94" s="75" t="n"/>
      <c r="F94" s="75" t="n"/>
      <c r="G94" s="76" t="n">
        <v>0.041</v>
      </c>
      <c r="H94" s="75" t="n"/>
      <c r="I94" s="75" t="n"/>
      <c r="J94" s="75" t="n"/>
      <c r="K94" s="75" t="n"/>
      <c r="L94" s="75" t="n"/>
      <c r="M94" s="76" t="n">
        <v>0.063</v>
      </c>
      <c r="N94" s="75" t="n"/>
      <c r="O94" s="75" t="n"/>
      <c r="P94" s="75" t="n"/>
      <c r="Q94" s="75" t="n"/>
      <c r="R94" s="95" t="inlineStr">
        <is>
          <t>—</t>
        </is>
      </c>
      <c r="S94" s="95" t="inlineStr">
        <is>
          <t>-0.0120 to -0.0100</t>
        </is>
      </c>
      <c r="T94" s="95" t="inlineStr">
        <is>
          <t>0.0230 to 0.4790</t>
        </is>
      </c>
      <c r="U94" s="95" t="inlineStr">
        <is>
          <t>Pavlov (Coastal): +0.4790</t>
        </is>
      </c>
    </row>
    <row r="95" ht="19.5" customHeight="1" s="111">
      <c r="A95" s="72" t="inlineStr">
        <is>
          <t>SANA 138KV</t>
        </is>
      </c>
      <c r="B95" s="73" t="inlineStr">
        <is>
          <t>⚫ Low Priority</t>
        </is>
      </c>
      <c r="C95" s="77" t="n">
        <v>35242.22</v>
      </c>
      <c r="D95" s="75" t="inlineStr">
        <is>
          <t>HE6, HE5, HE4</t>
        </is>
      </c>
      <c r="E95" s="75" t="n"/>
      <c r="F95" s="75" t="n"/>
      <c r="G95" s="75" t="n"/>
      <c r="H95" s="75" t="n"/>
      <c r="I95" s="75" t="n"/>
      <c r="J95" s="75" t="n"/>
      <c r="K95" s="75" t="n"/>
      <c r="L95" s="75" t="n"/>
      <c r="M95" s="75" t="n"/>
      <c r="N95" s="75" t="n"/>
      <c r="O95" s="76" t="n">
        <v>0.04</v>
      </c>
      <c r="P95" s="75" t="n"/>
      <c r="Q95" s="75" t="n"/>
      <c r="R95" s="95" t="inlineStr">
        <is>
          <t>0.0040</t>
        </is>
      </c>
      <c r="S95" s="95" t="inlineStr">
        <is>
          <t>-0.0010 to -0.0005</t>
        </is>
      </c>
      <c r="T95" s="95" t="inlineStr">
        <is>
          <t>-0.0090</t>
        </is>
      </c>
      <c r="U95" s="95" t="n"/>
    </row>
    <row r="96" ht="19.5" customHeight="1" s="111">
      <c r="A96" s="72" t="inlineStr">
        <is>
          <t>ELGISW-BUTLER 138KV</t>
        </is>
      </c>
      <c r="B96" s="73" t="inlineStr">
        <is>
          <t>⚫ Low Priority</t>
        </is>
      </c>
      <c r="C96" s="77" t="n">
        <v>5037.87</v>
      </c>
      <c r="D96" s="75" t="inlineStr">
        <is>
          <t>HE18, HE16, HE17</t>
        </is>
      </c>
      <c r="E96" s="78" t="n">
        <v>-0.02</v>
      </c>
      <c r="F96" s="76" t="n">
        <v>0.04196</v>
      </c>
      <c r="G96" s="76" t="n">
        <v>0.04516</v>
      </c>
      <c r="H96" s="75" t="n"/>
      <c r="I96" s="75" t="n"/>
      <c r="J96" s="75" t="n"/>
      <c r="K96" s="78" t="n">
        <v>-0.02</v>
      </c>
      <c r="L96" s="78" t="n">
        <v>-0.02</v>
      </c>
      <c r="M96" s="76" t="n">
        <v>0.046</v>
      </c>
      <c r="N96" s="75" t="n"/>
      <c r="O96" s="78" t="n">
        <v>-0.027</v>
      </c>
      <c r="P96" s="78" t="n">
        <v>-0.026</v>
      </c>
      <c r="Q96" s="78" t="n">
        <v>-0.027</v>
      </c>
      <c r="R96" s="96" t="inlineStr">
        <is>
          <t>-0.0200</t>
        </is>
      </c>
      <c r="S96" s="96" t="inlineStr">
        <is>
          <t>-0.0290 to -0.0260</t>
        </is>
      </c>
      <c r="T96" s="96" t="inlineStr">
        <is>
          <t>0.0280 to 0.0450</t>
        </is>
      </c>
      <c r="U96" s="96" t="n"/>
    </row>
    <row r="97" ht="19.5" customHeight="1" s="111">
      <c r="A97" s="72" t="inlineStr">
        <is>
          <t>ESTLD-MRVLY 69KV</t>
        </is>
      </c>
      <c r="B97" s="73" t="inlineStr">
        <is>
          <t>⚫ Low Priority</t>
        </is>
      </c>
      <c r="C97" s="77" t="n">
        <v>12489.03</v>
      </c>
      <c r="D97" s="75" t="inlineStr">
        <is>
          <t>HE13, HE8, HE9</t>
        </is>
      </c>
      <c r="E97" s="75" t="n"/>
      <c r="F97" s="75" t="n"/>
      <c r="G97" s="75" t="n"/>
      <c r="H97" s="75" t="n"/>
      <c r="I97" s="75" t="n"/>
      <c r="J97" s="75" t="n"/>
      <c r="K97" s="75" t="n"/>
      <c r="L97" s="75" t="n"/>
      <c r="M97" s="75" t="n"/>
      <c r="N97" s="75" t="n"/>
      <c r="O97" s="78" t="n">
        <v>-0.045</v>
      </c>
      <c r="P97" s="75" t="n"/>
      <c r="Q97" s="76" t="n">
        <v>0.053</v>
      </c>
      <c r="R97" s="95" t="inlineStr">
        <is>
          <t>—</t>
        </is>
      </c>
      <c r="S97" s="95" t="inlineStr">
        <is>
          <t>0.0130</t>
        </is>
      </c>
      <c r="T97" s="95" t="inlineStr">
        <is>
          <t>—</t>
        </is>
      </c>
      <c r="U97" s="95" t="n"/>
    </row>
    <row r="98" ht="19.5" customHeight="1" s="111">
      <c r="A98" s="72" t="inlineStr">
        <is>
          <t>HOLMAN-CISTERN 345KV</t>
        </is>
      </c>
      <c r="B98" s="73" t="inlineStr">
        <is>
          <t>⚫ Low Priority</t>
        </is>
      </c>
      <c r="C98" s="77" t="n">
        <v>3353.69</v>
      </c>
      <c r="D98" s="75" t="inlineStr">
        <is>
          <t>HE21, HE22, HE4</t>
        </is>
      </c>
      <c r="E98" s="75" t="n"/>
      <c r="F98" s="76" t="n">
        <v>0.05598</v>
      </c>
      <c r="G98" s="76" t="n">
        <v>0.05233</v>
      </c>
      <c r="H98" s="76" t="n">
        <v>0.05428</v>
      </c>
      <c r="I98" s="76" t="n">
        <v>0.0563</v>
      </c>
      <c r="J98" s="76" t="n">
        <v>0.0649</v>
      </c>
      <c r="K98" s="75" t="n"/>
      <c r="L98" s="75" t="n"/>
      <c r="M98" s="75" t="n"/>
      <c r="N98" s="78" t="n">
        <v>-0.07052</v>
      </c>
      <c r="O98" s="75" t="n"/>
      <c r="P98" s="75" t="n"/>
      <c r="Q98" s="75" t="n"/>
      <c r="R98" s="95" t="inlineStr">
        <is>
          <t>0.0290 to 0.0380</t>
        </is>
      </c>
      <c r="S98" s="95" t="inlineStr">
        <is>
          <t>0.0110</t>
        </is>
      </c>
      <c r="T98" s="95" t="inlineStr">
        <is>
          <t>-0.0740 to 0.0530</t>
        </is>
      </c>
      <c r="U98" s="95" t="n"/>
    </row>
    <row r="99" ht="19.5" customHeight="1" s="111">
      <c r="A99" s="72" t="inlineStr">
        <is>
          <t>YELWJCKT-HEXT 69KV</t>
        </is>
      </c>
      <c r="B99" s="73" t="inlineStr">
        <is>
          <t>⚫ Low Priority</t>
        </is>
      </c>
      <c r="C99" s="77" t="n">
        <v>18859.01</v>
      </c>
      <c r="D99" s="75" t="inlineStr">
        <is>
          <t>HE14, HE17, HE12</t>
        </is>
      </c>
      <c r="E99" s="75" t="n"/>
      <c r="F99" s="75" t="n"/>
      <c r="G99" s="75" t="n"/>
      <c r="H99" s="75" t="n"/>
      <c r="I99" s="75" t="n"/>
      <c r="J99" s="76" t="n">
        <v>0.059</v>
      </c>
      <c r="K99" s="75" t="n"/>
      <c r="L99" s="75" t="n"/>
      <c r="M99" s="75" t="n"/>
      <c r="N99" s="75" t="n"/>
      <c r="O99" s="75" t="n"/>
      <c r="P99" s="75" t="n"/>
      <c r="Q99" s="75" t="n"/>
      <c r="R99" s="95" t="inlineStr">
        <is>
          <t>—</t>
        </is>
      </c>
      <c r="S99" s="95" t="inlineStr">
        <is>
          <t>—</t>
        </is>
      </c>
      <c r="T99" s="95" t="inlineStr">
        <is>
          <t>—</t>
        </is>
      </c>
      <c r="U99" s="95" t="n"/>
    </row>
    <row r="100" ht="19.5" customHeight="1" s="111">
      <c r="A100" s="72" t="inlineStr">
        <is>
          <t>CRD 345KV</t>
        </is>
      </c>
      <c r="B100" s="73" t="inlineStr">
        <is>
          <t>⚫ Low Priority</t>
        </is>
      </c>
      <c r="C100" s="77" t="n">
        <v>16830.01</v>
      </c>
      <c r="D100" s="75" t="inlineStr">
        <is>
          <t>HE22, HE2, HE1</t>
        </is>
      </c>
      <c r="E100" s="75" t="n"/>
      <c r="F100" s="75" t="n"/>
      <c r="G100" s="75" t="n"/>
      <c r="H100" s="75" t="n"/>
      <c r="I100" s="75" t="n"/>
      <c r="J100" s="75" t="n"/>
      <c r="K100" s="75" t="n"/>
      <c r="L100" s="75" t="n"/>
      <c r="M100" s="75" t="n"/>
      <c r="N100" s="75" t="n"/>
      <c r="O100" s="76" t="n">
        <v>0.06</v>
      </c>
      <c r="P100" s="75" t="n"/>
      <c r="Q100" s="75" t="n"/>
      <c r="R100" s="95" t="inlineStr">
        <is>
          <t>—</t>
        </is>
      </c>
      <c r="S100" s="95" t="inlineStr">
        <is>
          <t>0.1360</t>
        </is>
      </c>
      <c r="T100" s="95" t="inlineStr">
        <is>
          <t>—</t>
        </is>
      </c>
      <c r="U100" s="95" t="inlineStr">
        <is>
          <t>Mineral Wells (North): +0.1360</t>
        </is>
      </c>
    </row>
    <row r="101" ht="19.5" customHeight="1" s="111">
      <c r="A101" s="72" t="inlineStr">
        <is>
          <t>BRACKETT-ESCONDID 138KV</t>
        </is>
      </c>
      <c r="B101" s="73" t="inlineStr">
        <is>
          <t>⚫ Low Priority</t>
        </is>
      </c>
      <c r="C101" s="77" t="n">
        <v>1988.62</v>
      </c>
      <c r="D101" s="75" t="inlineStr">
        <is>
          <t>HE18, HE17, HE16</t>
        </is>
      </c>
      <c r="E101" s="78" t="n">
        <v>-0.04194</v>
      </c>
      <c r="F101" s="61" t="n">
        <v>0.10133</v>
      </c>
      <c r="G101" s="76" t="n">
        <v>0.04094</v>
      </c>
      <c r="H101" s="64" t="n">
        <v>-0.32295</v>
      </c>
      <c r="I101" s="75" t="n"/>
      <c r="J101" s="75" t="n"/>
      <c r="K101" s="75" t="n"/>
      <c r="L101" s="75" t="n"/>
      <c r="M101" s="75" t="n"/>
      <c r="N101" s="75" t="n"/>
      <c r="O101" s="75" t="n"/>
      <c r="P101" s="75" t="n"/>
      <c r="Q101" s="75" t="n"/>
      <c r="R101" s="95" t="inlineStr">
        <is>
          <t>-0.0140</t>
        </is>
      </c>
      <c r="S101" s="95" t="inlineStr">
        <is>
          <t>—</t>
        </is>
      </c>
      <c r="T101" s="95" t="inlineStr">
        <is>
          <t>0.0130 to 0.0170</t>
        </is>
      </c>
      <c r="U101" s="95" t="n"/>
    </row>
    <row r="102" ht="19.5" customHeight="1" s="111">
      <c r="A102" s="72" t="inlineStr">
        <is>
          <t>BANDER-MASOCR 138KV</t>
        </is>
      </c>
      <c r="B102" s="73" t="inlineStr">
        <is>
          <t>⚫ Low Priority</t>
        </is>
      </c>
      <c r="C102" s="77" t="n">
        <v>7382.61</v>
      </c>
      <c r="D102" s="75" t="inlineStr">
        <is>
          <t>HE16, HE19, HE18</t>
        </is>
      </c>
      <c r="E102" s="75" t="n"/>
      <c r="F102" s="75" t="n"/>
      <c r="G102" s="75" t="n"/>
      <c r="H102" s="75" t="n"/>
      <c r="I102" s="75" t="n"/>
      <c r="J102" s="78" t="n">
        <v>-0.08</v>
      </c>
      <c r="K102" s="75" t="n"/>
      <c r="L102" s="75" t="n"/>
      <c r="M102" s="75" t="n"/>
      <c r="N102" s="75" t="n"/>
      <c r="O102" s="75" t="n"/>
      <c r="P102" s="75" t="n"/>
      <c r="Q102" s="75" t="n"/>
      <c r="R102" s="95" t="inlineStr">
        <is>
          <t>-0.0260 to -0.0190</t>
        </is>
      </c>
      <c r="S102" s="95" t="inlineStr">
        <is>
          <t>-0.0100</t>
        </is>
      </c>
      <c r="T102" s="95" t="inlineStr">
        <is>
          <t>0.0100 to 0.0230</t>
        </is>
      </c>
      <c r="U102" s="95" t="n"/>
    </row>
    <row r="103" ht="19.5" customHeight="1" s="111">
      <c r="A103" s="72" t="inlineStr">
        <is>
          <t>CNRSW 345KV</t>
        </is>
      </c>
      <c r="B103" s="73" t="inlineStr">
        <is>
          <t>⚫ Low Priority</t>
        </is>
      </c>
      <c r="C103" s="77" t="n">
        <v>3048</v>
      </c>
      <c r="D103" s="75" t="inlineStr">
        <is>
          <t>HE15, HE14, HE16</t>
        </is>
      </c>
      <c r="E103" s="75" t="n"/>
      <c r="F103" s="75" t="n"/>
      <c r="G103" s="75" t="n"/>
      <c r="H103" s="75" t="n"/>
      <c r="I103" s="75" t="n"/>
      <c r="J103" s="75" t="n"/>
      <c r="K103" s="75" t="n"/>
      <c r="L103" s="75" t="n"/>
      <c r="M103" s="75" t="n"/>
      <c r="N103" s="75" t="n"/>
      <c r="O103" s="75" t="n"/>
      <c r="P103" s="64" t="n">
        <v>-0.14082</v>
      </c>
      <c r="Q103" s="75" t="n"/>
      <c r="R103" s="95" t="inlineStr">
        <is>
          <t>—</t>
        </is>
      </c>
      <c r="S103" s="95" t="inlineStr">
        <is>
          <t>-0.1400 to -0.1100</t>
        </is>
      </c>
      <c r="T103" s="95" t="inlineStr">
        <is>
          <t>—</t>
        </is>
      </c>
      <c r="U103" s="95" t="n"/>
    </row>
    <row r="104" ht="19.5" customHeight="1" s="111">
      <c r="A104" s="72" t="inlineStr">
        <is>
          <t>EINSTEIN-CRTRVLLE 138KV</t>
        </is>
      </c>
      <c r="B104" s="73" t="inlineStr">
        <is>
          <t>⚫ Low Priority</t>
        </is>
      </c>
      <c r="C104" s="77" t="n">
        <v>4113.48</v>
      </c>
      <c r="D104" s="75" t="inlineStr">
        <is>
          <t>HE8, HE7, HE9</t>
        </is>
      </c>
      <c r="E104" s="75" t="n"/>
      <c r="F104" s="75" t="n"/>
      <c r="G104" s="75" t="n"/>
      <c r="H104" s="75" t="n"/>
      <c r="I104" s="75" t="n"/>
      <c r="J104" s="75" t="n"/>
      <c r="K104" s="76" t="n">
        <v>0.04849</v>
      </c>
      <c r="L104" s="76" t="n">
        <v>0.03842</v>
      </c>
      <c r="M104" s="75" t="n"/>
      <c r="N104" s="75" t="n"/>
      <c r="O104" s="75" t="n"/>
      <c r="P104" s="75" t="n"/>
      <c r="Q104" s="75" t="n"/>
      <c r="R104" s="95" t="inlineStr">
        <is>
          <t>0.0350 to 0.1350</t>
        </is>
      </c>
      <c r="S104" s="95" t="inlineStr">
        <is>
          <t>—</t>
        </is>
      </c>
      <c r="T104" s="95" t="inlineStr">
        <is>
          <t>—</t>
        </is>
      </c>
      <c r="U104" s="95" t="inlineStr">
        <is>
          <t>Garden City (West): +0.1350</t>
        </is>
      </c>
    </row>
    <row r="105">
      <c r="A105" s="97" t="inlineStr">
        <is>
          <t>🆕  NEW — Identified via updated site-level crosswalk (not yet priority-classified)</t>
        </is>
      </c>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row>
    <row r="106">
      <c r="A106" s="98" t="inlineStr">
        <is>
          <t>PEARSALL-POTEETS 69KV</t>
        </is>
      </c>
      <c r="B106" s="98" t="inlineStr">
        <is>
          <t>🆕 New</t>
        </is>
      </c>
      <c r="C106" s="98" t="n">
        <v>167352.76</v>
      </c>
      <c r="D106" s="98" t="inlineStr">
        <is>
          <t>HE17, HE18, HE16</t>
        </is>
      </c>
      <c r="E106" s="98" t="n"/>
      <c r="F106" s="98" t="n">
        <v>-0.01753</v>
      </c>
      <c r="G106" s="98" t="n">
        <v>-0.01336</v>
      </c>
      <c r="H106" s="98" t="n"/>
      <c r="I106" s="98" t="n">
        <v>-0.01269</v>
      </c>
      <c r="J106" s="98" t="n"/>
      <c r="K106" s="98" t="n"/>
      <c r="L106" s="98" t="n"/>
      <c r="M106" s="98" t="n"/>
      <c r="N106" s="98" t="n"/>
      <c r="O106" s="98" t="n"/>
      <c r="P106" s="98" t="n"/>
      <c r="Q106" s="98" t="n"/>
      <c r="R106" s="98" t="inlineStr">
        <is>
          <t>—</t>
        </is>
      </c>
      <c r="S106" s="98" t="inlineStr">
        <is>
          <t>—</t>
        </is>
      </c>
      <c r="T106" s="98" t="inlineStr">
        <is>
          <t>—</t>
        </is>
      </c>
      <c r="U106" s="98" t="inlineStr">
        <is>
          <t>Poteet (Coastal): +0.3910</t>
        </is>
      </c>
    </row>
    <row r="107">
      <c r="A107" s="98" t="inlineStr">
        <is>
          <t>BCPSW-AZLES 138KV</t>
        </is>
      </c>
      <c r="B107" s="98" t="inlineStr">
        <is>
          <t>🆕 New</t>
        </is>
      </c>
      <c r="C107" s="98" t="n">
        <v>7518.99</v>
      </c>
      <c r="D107" s="98" t="inlineStr">
        <is>
          <t>HE18, HE19, HE17</t>
        </is>
      </c>
      <c r="E107" s="98" t="n"/>
      <c r="F107" s="98" t="n"/>
      <c r="G107" s="98" t="n"/>
      <c r="H107" s="98" t="n"/>
      <c r="I107" s="98" t="n"/>
      <c r="J107" s="98" t="n"/>
      <c r="K107" s="98" t="n"/>
      <c r="L107" s="98" t="n"/>
      <c r="M107" s="98" t="n"/>
      <c r="N107" s="98" t="n"/>
      <c r="O107" s="98" t="n">
        <v>0.03</v>
      </c>
      <c r="P107" s="98" t="n"/>
      <c r="Q107" s="98" t="n">
        <v>0.04</v>
      </c>
      <c r="R107" s="98" t="inlineStr">
        <is>
          <t>—</t>
        </is>
      </c>
      <c r="S107" s="98" t="inlineStr">
        <is>
          <t>0.2250</t>
        </is>
      </c>
      <c r="T107" s="98" t="inlineStr">
        <is>
          <t>—</t>
        </is>
      </c>
      <c r="U107" s="98" t="inlineStr">
        <is>
          <t>Mineral Wells (North): +0.2250</t>
        </is>
      </c>
    </row>
    <row r="109">
      <c r="A109" s="125" t="inlineStr">
        <is>
          <t>Columns R–U (added): West TX (10 sites), North TX (4 sites), and Coastal (5 sites) ranges show the min-to-max shift factor across that region's non-premium-tier sites for this line — use as a rough regional exposure gauge, not a per-site number. "—" = no meaningful exposure in that region. Notable Non-Premium Site(s) calls out any single site whose exposure is well above its regional peers (worth tracking individually rather than folding into the range).</t>
        </is>
      </c>
    </row>
  </sheetData>
  <mergeCells count="3">
    <mergeCell ref="A109:U109"/>
    <mergeCell ref="A1:P1"/>
    <mergeCell ref="A2:P2"/>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AD1457"/>
    <outlinePr summaryBelow="1" summaryRight="1"/>
    <pageSetUpPr/>
  </sheetPr>
  <dimension ref="A1:AA60"/>
  <sheetViews>
    <sheetView zoomScaleNormal="100" workbookViewId="0">
      <pane xSplit="1" ySplit="3" topLeftCell="B4" activePane="bottomRight" state="frozen"/>
      <selection pane="topRight" activeCell="B1" sqref="B1"/>
      <selection pane="bottomLeft" activeCell="A4" sqref="A4"/>
      <selection pane="bottomRight" activeCell="A1" sqref="A1:Z1"/>
    </sheetView>
  </sheetViews>
  <sheetFormatPr baseColWidth="8" defaultColWidth="8.7109375" defaultRowHeight="15"/>
  <cols>
    <col width="30" customWidth="1" style="111" min="1" max="1"/>
    <col width="10" customWidth="1" style="111" min="2" max="2"/>
    <col width="14" customWidth="1" style="111" min="3" max="3"/>
    <col width="7" customWidth="1" style="111" min="4" max="7"/>
    <col width="7.42578125" bestFit="1" customWidth="1" style="111" min="8" max="8"/>
    <col width="7" customWidth="1" style="111" min="9" max="11"/>
    <col width="12" customWidth="1" style="111" min="12" max="16"/>
    <col width="7" customWidth="1" style="111" min="17" max="27"/>
  </cols>
  <sheetData>
    <row r="1" ht="27.75" customHeight="1" s="111">
      <c r="A1" s="126" t="inlineStr">
        <is>
          <t>HOURLY DISCHARGE GUIDE — Historical Shadow Pricing by Hour Ending (Apr 2025 – May 2026)</t>
        </is>
      </c>
    </row>
    <row r="2" ht="19.5" customHeight="1" s="111">
      <c r="A2" s="118" t="inlineStr">
        <is>
          <t>Values = Total $ shadow pricing accumulated in that hour over the study period. Higher = more congestion exposure in that hour. Color intensity = relative magnitude.</t>
        </is>
      </c>
    </row>
    <row r="3" ht="27.75" customHeight="1" s="111">
      <c r="A3" s="7" t="inlineStr">
        <is>
          <t>Line / Constraint</t>
        </is>
      </c>
      <c r="B3" s="7" t="inlineStr">
        <is>
          <t>Priority</t>
        </is>
      </c>
      <c r="C3" s="7" t="inlineStr">
        <is>
          <t>Total $</t>
        </is>
      </c>
      <c r="D3" s="7" t="inlineStr">
        <is>
          <t>HE1</t>
        </is>
      </c>
      <c r="E3" s="7" t="inlineStr">
        <is>
          <t>HE2</t>
        </is>
      </c>
      <c r="F3" s="7" t="inlineStr">
        <is>
          <t>HE3</t>
        </is>
      </c>
      <c r="G3" s="7" t="inlineStr">
        <is>
          <t>HE4</t>
        </is>
      </c>
      <c r="H3" s="7" t="inlineStr">
        <is>
          <t>HE5</t>
        </is>
      </c>
      <c r="I3" s="7" t="inlineStr">
        <is>
          <t>HE6</t>
        </is>
      </c>
      <c r="J3" s="7" t="inlineStr">
        <is>
          <t>HE7</t>
        </is>
      </c>
      <c r="K3" s="7" t="inlineStr">
        <is>
          <t>HE8</t>
        </is>
      </c>
      <c r="L3" s="7" t="inlineStr">
        <is>
          <t>HE9</t>
        </is>
      </c>
      <c r="M3" s="7" t="inlineStr">
        <is>
          <t>HE10</t>
        </is>
      </c>
      <c r="N3" s="7" t="inlineStr">
        <is>
          <t>HE11</t>
        </is>
      </c>
      <c r="O3" s="7" t="inlineStr">
        <is>
          <t>HE12</t>
        </is>
      </c>
      <c r="P3" s="7" t="inlineStr">
        <is>
          <t>HE13</t>
        </is>
      </c>
      <c r="Q3" s="7" t="inlineStr">
        <is>
          <t>HE14</t>
        </is>
      </c>
      <c r="R3" s="7" t="inlineStr">
        <is>
          <t>HE15</t>
        </is>
      </c>
      <c r="S3" s="7" t="inlineStr">
        <is>
          <t>HE16</t>
        </is>
      </c>
      <c r="T3" s="7" t="inlineStr">
        <is>
          <t>HE17</t>
        </is>
      </c>
      <c r="U3" s="7" t="inlineStr">
        <is>
          <t>HE18</t>
        </is>
      </c>
      <c r="V3" s="7" t="inlineStr">
        <is>
          <t>HE19</t>
        </is>
      </c>
      <c r="W3" s="7" t="inlineStr">
        <is>
          <t>HE20</t>
        </is>
      </c>
      <c r="X3" s="7" t="inlineStr">
        <is>
          <t>HE21</t>
        </is>
      </c>
      <c r="Y3" s="7" t="inlineStr">
        <is>
          <t>HE22</t>
        </is>
      </c>
      <c r="Z3" s="7" t="inlineStr">
        <is>
          <t>HE23</t>
        </is>
      </c>
      <c r="AA3" s="7" t="inlineStr">
        <is>
          <t>HE24</t>
        </is>
      </c>
    </row>
    <row r="4" ht="19.5" customHeight="1" s="111">
      <c r="A4" s="55" t="inlineStr">
        <is>
          <t>TWINBU-HARGROVE 138KV</t>
        </is>
      </c>
      <c r="B4" s="56" t="inlineStr">
        <is>
          <t>🟢 Active</t>
        </is>
      </c>
      <c r="C4" s="57" t="n">
        <v>812338.3</v>
      </c>
      <c r="D4" s="79" t="n">
        <v>67031.56</v>
      </c>
      <c r="E4" s="80" t="n">
        <v>78042.27</v>
      </c>
      <c r="F4" s="80" t="n">
        <v>85676.48</v>
      </c>
      <c r="G4" s="80" t="n">
        <v>93412.97</v>
      </c>
      <c r="H4" s="80" t="n">
        <v>101422.32</v>
      </c>
      <c r="I4" s="80" t="n">
        <v>95386.19</v>
      </c>
      <c r="J4" s="80" t="n">
        <v>78245.67</v>
      </c>
      <c r="K4" s="79" t="n">
        <v>52048.79</v>
      </c>
      <c r="L4" s="81" t="n">
        <v>13496.03</v>
      </c>
      <c r="M4" s="81" t="n">
        <v>9337.290000000001</v>
      </c>
      <c r="N4" s="81" t="n">
        <v>5147.96</v>
      </c>
      <c r="O4" s="82" t="n">
        <v>1781.44</v>
      </c>
      <c r="P4" s="82" t="n">
        <v>1755.51</v>
      </c>
      <c r="Q4" s="82" t="n">
        <v>2254.73</v>
      </c>
      <c r="R4" s="82" t="n">
        <v>1723.31</v>
      </c>
      <c r="S4" s="82" t="n">
        <v>1844.91</v>
      </c>
      <c r="T4" s="82" t="n">
        <v>880.08</v>
      </c>
      <c r="U4" s="82" t="n">
        <v>977.51</v>
      </c>
      <c r="V4" s="82" t="n">
        <v>4184.01</v>
      </c>
      <c r="W4" s="81" t="n">
        <v>6324.09</v>
      </c>
      <c r="X4" s="81" t="n">
        <v>12226.18</v>
      </c>
      <c r="Y4" s="83" t="n">
        <v>18850.77</v>
      </c>
      <c r="Z4" s="83" t="n">
        <v>28465.14</v>
      </c>
      <c r="AA4" s="79" t="n">
        <v>51823.09</v>
      </c>
    </row>
    <row r="5" ht="19.5" customHeight="1" s="111">
      <c r="A5" s="55" t="inlineStr">
        <is>
          <t>LARDVNTH-LASCRUCE 138KV</t>
        </is>
      </c>
      <c r="B5" s="56" t="inlineStr">
        <is>
          <t>🟢 Active</t>
        </is>
      </c>
      <c r="C5" s="57" t="n">
        <v>150133.74</v>
      </c>
      <c r="D5" s="83" t="n">
        <v>5292.9</v>
      </c>
      <c r="E5" s="81" t="n">
        <v>4016.18</v>
      </c>
      <c r="F5" s="81" t="n">
        <v>2584.08</v>
      </c>
      <c r="G5" s="81" t="n">
        <v>1441.52</v>
      </c>
      <c r="H5" s="81" t="n">
        <v>1460.88</v>
      </c>
      <c r="I5" s="81" t="n">
        <v>1506.22</v>
      </c>
      <c r="J5" s="81" t="n">
        <v>1972.63</v>
      </c>
      <c r="K5" s="82" t="n">
        <v>1300.26</v>
      </c>
      <c r="L5" s="82" t="n">
        <v>1077.74</v>
      </c>
      <c r="M5" s="81" t="n">
        <v>1765.52</v>
      </c>
      <c r="N5" s="81" t="n">
        <v>2139.03</v>
      </c>
      <c r="O5" s="81" t="n">
        <v>2022.88</v>
      </c>
      <c r="P5" s="81" t="n">
        <v>1587.54</v>
      </c>
      <c r="Q5" s="81" t="n">
        <v>1384.82</v>
      </c>
      <c r="R5" s="81" t="n">
        <v>1552.48</v>
      </c>
      <c r="S5" s="81" t="n">
        <v>2858.78</v>
      </c>
      <c r="T5" s="83" t="n">
        <v>4289.72</v>
      </c>
      <c r="U5" s="83" t="n">
        <v>7677.17</v>
      </c>
      <c r="V5" s="79" t="n">
        <v>15748.88</v>
      </c>
      <c r="W5" s="80" t="n">
        <v>27679.73</v>
      </c>
      <c r="X5" s="80" t="n">
        <v>27663.42</v>
      </c>
      <c r="Y5" s="79" t="n">
        <v>18016.5</v>
      </c>
      <c r="Z5" s="83" t="n">
        <v>9419.33</v>
      </c>
      <c r="AA5" s="83" t="n">
        <v>5675.53</v>
      </c>
    </row>
    <row r="6" ht="19.5" customHeight="1" s="111">
      <c r="A6" s="55" t="inlineStr">
        <is>
          <t>FORTMA-YELWJCKT 138KV</t>
        </is>
      </c>
      <c r="B6" s="56" t="inlineStr">
        <is>
          <t>🟢 Active</t>
        </is>
      </c>
      <c r="C6" s="57" t="n">
        <v>103773.93</v>
      </c>
      <c r="D6" s="79" t="n">
        <v>6927.47</v>
      </c>
      <c r="E6" s="80" t="n">
        <v>7504.88</v>
      </c>
      <c r="F6" s="79" t="n">
        <v>5776.69</v>
      </c>
      <c r="G6" s="80" t="n">
        <v>7337.18</v>
      </c>
      <c r="H6" s="79" t="n">
        <v>6465.42</v>
      </c>
      <c r="I6" s="79" t="n">
        <v>4479.64</v>
      </c>
      <c r="J6" s="79" t="n">
        <v>4070.58</v>
      </c>
      <c r="K6" s="83" t="n">
        <v>3102.16</v>
      </c>
      <c r="L6" s="81" t="n">
        <v>982.11</v>
      </c>
      <c r="M6" s="82" t="n">
        <v>163.73</v>
      </c>
      <c r="N6" s="82" t="n"/>
      <c r="O6" s="82" t="n"/>
      <c r="P6" s="82" t="n"/>
      <c r="Q6" s="82" t="n"/>
      <c r="R6" s="82" t="n"/>
      <c r="S6" s="82" t="n">
        <v>6</v>
      </c>
      <c r="T6" s="81" t="n">
        <v>697.78</v>
      </c>
      <c r="U6" s="79" t="n">
        <v>6238.74</v>
      </c>
      <c r="V6" s="80" t="n">
        <v>7077.57</v>
      </c>
      <c r="W6" s="80" t="n">
        <v>8859.780000000001</v>
      </c>
      <c r="X6" s="80" t="n">
        <v>9917.690000000001</v>
      </c>
      <c r="Y6" s="80" t="n">
        <v>8495.719999999999</v>
      </c>
      <c r="Z6" s="80" t="n">
        <v>8672.959999999999</v>
      </c>
      <c r="AA6" s="80" t="n">
        <v>6997.83</v>
      </c>
    </row>
    <row r="7" ht="19.5" customHeight="1" s="111">
      <c r="A7" s="55" t="inlineStr">
        <is>
          <t>STP-ELMCREEK 345KV</t>
        </is>
      </c>
      <c r="B7" s="56" t="inlineStr">
        <is>
          <t>🟢 Active</t>
        </is>
      </c>
      <c r="C7" s="57" t="n">
        <v>89021.72</v>
      </c>
      <c r="D7" s="83" t="n">
        <v>3789.99</v>
      </c>
      <c r="E7" s="83" t="n">
        <v>3172.48</v>
      </c>
      <c r="F7" s="83" t="n">
        <v>3064.52</v>
      </c>
      <c r="G7" s="83" t="n">
        <v>3075.23</v>
      </c>
      <c r="H7" s="83" t="n">
        <v>3171.1</v>
      </c>
      <c r="I7" s="83" t="n">
        <v>4517.58</v>
      </c>
      <c r="J7" s="79" t="n">
        <v>5196.07</v>
      </c>
      <c r="K7" s="79" t="n">
        <v>5373.49</v>
      </c>
      <c r="L7" s="81" t="n">
        <v>1727.02</v>
      </c>
      <c r="M7" s="82" t="n">
        <v>557.12</v>
      </c>
      <c r="N7" s="82" t="n">
        <v>454.9</v>
      </c>
      <c r="O7" s="82" t="n">
        <v>439.05</v>
      </c>
      <c r="P7" s="82" t="n">
        <v>423.35</v>
      </c>
      <c r="Q7" s="82" t="n">
        <v>429.37</v>
      </c>
      <c r="R7" s="82" t="n">
        <v>190.28</v>
      </c>
      <c r="S7" s="82" t="n">
        <v>55.57</v>
      </c>
      <c r="T7" s="81" t="n">
        <v>707.6</v>
      </c>
      <c r="U7" s="83" t="n">
        <v>3364.43</v>
      </c>
      <c r="V7" s="79" t="n">
        <v>7098.8</v>
      </c>
      <c r="W7" s="79" t="n">
        <v>5392.5</v>
      </c>
      <c r="X7" s="80" t="n">
        <v>9584.25</v>
      </c>
      <c r="Y7" s="80" t="n">
        <v>11626.19</v>
      </c>
      <c r="Z7" s="80" t="n">
        <v>9016.85</v>
      </c>
      <c r="AA7" s="79" t="n">
        <v>6593.98</v>
      </c>
    </row>
    <row r="8" ht="19.5" customHeight="1" s="111">
      <c r="A8" s="55" t="inlineStr">
        <is>
          <t>TREADWEL-YELWJCKT 138KV</t>
        </is>
      </c>
      <c r="B8" s="56" t="inlineStr">
        <is>
          <t>🟢 Active</t>
        </is>
      </c>
      <c r="C8" s="57" t="n">
        <v>99801.11</v>
      </c>
      <c r="D8" s="83" t="n">
        <v>2040.61</v>
      </c>
      <c r="E8" s="81" t="n">
        <v>1496.75</v>
      </c>
      <c r="F8" s="81" t="n">
        <v>1311.53</v>
      </c>
      <c r="G8" s="81" t="n">
        <v>1197.23</v>
      </c>
      <c r="H8" s="81" t="n">
        <v>802.83</v>
      </c>
      <c r="I8" s="81" t="n">
        <v>897.6</v>
      </c>
      <c r="J8" s="81" t="n">
        <v>1087.27</v>
      </c>
      <c r="K8" s="81" t="n">
        <v>822.49</v>
      </c>
      <c r="L8" s="81" t="n">
        <v>1233.12</v>
      </c>
      <c r="M8" s="83" t="n">
        <v>2381.19</v>
      </c>
      <c r="N8" s="83" t="n">
        <v>4127.3</v>
      </c>
      <c r="O8" s="79" t="n">
        <v>5372.08</v>
      </c>
      <c r="P8" s="79" t="n">
        <v>5905.86</v>
      </c>
      <c r="Q8" s="79" t="n">
        <v>7345.69</v>
      </c>
      <c r="R8" s="80" t="n">
        <v>8718.370000000001</v>
      </c>
      <c r="S8" s="80" t="n">
        <v>9151</v>
      </c>
      <c r="T8" s="80" t="n">
        <v>10821.32</v>
      </c>
      <c r="U8" s="80" t="n">
        <v>10302.42</v>
      </c>
      <c r="V8" s="80" t="n">
        <v>9283.540000000001</v>
      </c>
      <c r="W8" s="79" t="n">
        <v>6435.89</v>
      </c>
      <c r="X8" s="83" t="n">
        <v>2234.67</v>
      </c>
      <c r="Y8" s="83" t="n">
        <v>2028.78</v>
      </c>
      <c r="Z8" s="83" t="n">
        <v>2482.7</v>
      </c>
      <c r="AA8" s="83" t="n">
        <v>2320.87</v>
      </c>
    </row>
    <row r="9" ht="19.5" customHeight="1" s="111">
      <c r="A9" s="55" t="inlineStr">
        <is>
          <t>LASCRUCE-MILO 138KV</t>
        </is>
      </c>
      <c r="B9" s="56" t="inlineStr">
        <is>
          <t>🟢 Active</t>
        </is>
      </c>
      <c r="C9" s="57" t="n">
        <v>59751.88</v>
      </c>
      <c r="D9" s="79" t="n">
        <v>2698.34</v>
      </c>
      <c r="E9" s="83" t="n">
        <v>2135.24</v>
      </c>
      <c r="F9" s="79" t="n">
        <v>2595.03</v>
      </c>
      <c r="G9" s="79" t="n">
        <v>2635.43</v>
      </c>
      <c r="H9" s="79" t="n">
        <v>2780</v>
      </c>
      <c r="I9" s="79" t="n">
        <v>2630.49</v>
      </c>
      <c r="J9" s="79" t="n">
        <v>2489.77</v>
      </c>
      <c r="K9" s="79" t="n">
        <v>2672.6</v>
      </c>
      <c r="L9" s="83" t="n">
        <v>1383.99</v>
      </c>
      <c r="M9" s="81" t="n">
        <v>642.14</v>
      </c>
      <c r="N9" s="81" t="n">
        <v>909.49</v>
      </c>
      <c r="O9" s="83" t="n">
        <v>921.8200000000001</v>
      </c>
      <c r="P9" s="81" t="n">
        <v>696.89</v>
      </c>
      <c r="Q9" s="81" t="n">
        <v>570.21</v>
      </c>
      <c r="R9" s="81" t="n">
        <v>712.37</v>
      </c>
      <c r="S9" s="83" t="n">
        <v>1204.27</v>
      </c>
      <c r="T9" s="83" t="n">
        <v>2156.75</v>
      </c>
      <c r="U9" s="79" t="n">
        <v>3398.77</v>
      </c>
      <c r="V9" s="80" t="n">
        <v>5910.35</v>
      </c>
      <c r="W9" s="80" t="n">
        <v>6139.76</v>
      </c>
      <c r="X9" s="80" t="n">
        <v>4375.1</v>
      </c>
      <c r="Y9" s="80" t="n">
        <v>4356.49</v>
      </c>
      <c r="Z9" s="79" t="n">
        <v>2805.09</v>
      </c>
      <c r="AA9" s="79" t="n">
        <v>2931.49</v>
      </c>
    </row>
    <row r="10" ht="19.5" customHeight="1" s="111">
      <c r="A10" s="55" t="inlineStr">
        <is>
          <t>WESTEX</t>
        </is>
      </c>
      <c r="B10" s="56" t="inlineStr">
        <is>
          <t>🟢 Active</t>
        </is>
      </c>
      <c r="C10" s="57" t="n">
        <v>8701.73</v>
      </c>
      <c r="D10" s="79" t="n">
        <v>305.77</v>
      </c>
      <c r="E10" s="79" t="n">
        <v>249.86</v>
      </c>
      <c r="F10" s="83" t="n">
        <v>192.79</v>
      </c>
      <c r="G10" s="83" t="n">
        <v>152.03</v>
      </c>
      <c r="H10" s="83" t="n">
        <v>148.14</v>
      </c>
      <c r="I10" s="83" t="n">
        <v>170.43</v>
      </c>
      <c r="J10" s="83" t="n">
        <v>204.97</v>
      </c>
      <c r="K10" s="79" t="n">
        <v>284.51</v>
      </c>
      <c r="L10" s="79" t="n">
        <v>250.59</v>
      </c>
      <c r="M10" s="79" t="n">
        <v>377.52</v>
      </c>
      <c r="N10" s="80" t="n">
        <v>516.63</v>
      </c>
      <c r="O10" s="80" t="n">
        <v>532.59</v>
      </c>
      <c r="P10" s="80" t="n">
        <v>469.9</v>
      </c>
      <c r="Q10" s="80" t="n">
        <v>437.06</v>
      </c>
      <c r="R10" s="80" t="n">
        <v>463.27</v>
      </c>
      <c r="S10" s="80" t="n">
        <v>492.54</v>
      </c>
      <c r="T10" s="80" t="n">
        <v>504.42</v>
      </c>
      <c r="U10" s="80" t="n">
        <v>463.31</v>
      </c>
      <c r="V10" s="80" t="n">
        <v>543.96</v>
      </c>
      <c r="W10" s="80" t="n">
        <v>550.41</v>
      </c>
      <c r="X10" s="79" t="n">
        <v>345.63</v>
      </c>
      <c r="Y10" s="79" t="n">
        <v>311.2</v>
      </c>
      <c r="Z10" s="79" t="n">
        <v>362.19</v>
      </c>
      <c r="AA10" s="79" t="n">
        <v>372.01</v>
      </c>
    </row>
    <row r="11" ht="19.5" customHeight="1" s="111">
      <c r="A11" s="55" t="inlineStr">
        <is>
          <t>LNGSW-PRLSW 345KV</t>
        </is>
      </c>
      <c r="B11" s="56" t="inlineStr">
        <is>
          <t>🟢 Active</t>
        </is>
      </c>
      <c r="C11" s="57" t="n">
        <v>56393.44</v>
      </c>
      <c r="D11" s="80" t="n">
        <v>4609.85</v>
      </c>
      <c r="E11" s="80" t="n">
        <v>4522.05</v>
      </c>
      <c r="F11" s="80" t="n">
        <v>4308.79</v>
      </c>
      <c r="G11" s="80" t="n">
        <v>3904.78</v>
      </c>
      <c r="H11" s="80" t="n">
        <v>3499.42</v>
      </c>
      <c r="I11" s="79" t="n">
        <v>3088.33</v>
      </c>
      <c r="J11" s="79" t="n">
        <v>2084.55</v>
      </c>
      <c r="K11" s="83" t="n">
        <v>1380.77</v>
      </c>
      <c r="L11" s="81" t="n">
        <v>580.35</v>
      </c>
      <c r="M11" s="81" t="n">
        <v>446.24</v>
      </c>
      <c r="N11" s="83" t="n">
        <v>699.9</v>
      </c>
      <c r="O11" s="83" t="n">
        <v>787.08</v>
      </c>
      <c r="P11" s="83" t="n">
        <v>835.66</v>
      </c>
      <c r="Q11" s="83" t="n">
        <v>827.62</v>
      </c>
      <c r="R11" s="83" t="n">
        <v>821.14</v>
      </c>
      <c r="S11" s="83" t="n">
        <v>1045.78</v>
      </c>
      <c r="T11" s="83" t="n">
        <v>1090.38</v>
      </c>
      <c r="U11" s="83" t="n">
        <v>1627.47</v>
      </c>
      <c r="V11" s="83" t="n">
        <v>1704.78</v>
      </c>
      <c r="W11" s="79" t="n">
        <v>2261.65</v>
      </c>
      <c r="X11" s="79" t="n">
        <v>3222.73</v>
      </c>
      <c r="Y11" s="80" t="n">
        <v>4110.84</v>
      </c>
      <c r="Z11" s="80" t="n">
        <v>4426.32</v>
      </c>
      <c r="AA11" s="80" t="n">
        <v>4506.96</v>
      </c>
    </row>
    <row r="12" ht="19.5" customHeight="1" s="111">
      <c r="A12" s="55" t="inlineStr">
        <is>
          <t>E_PASP</t>
        </is>
      </c>
      <c r="B12" s="56" t="inlineStr">
        <is>
          <t>🟢 Active</t>
        </is>
      </c>
      <c r="C12" s="57" t="n">
        <v>84322.89999999999</v>
      </c>
      <c r="D12" s="81" t="n">
        <v>1311.99</v>
      </c>
      <c r="E12" s="82" t="n">
        <v>791.1900000000001</v>
      </c>
      <c r="F12" s="82" t="n">
        <v>474.4</v>
      </c>
      <c r="G12" s="82" t="n">
        <v>433.31</v>
      </c>
      <c r="H12" s="82" t="n">
        <v>368.34</v>
      </c>
      <c r="I12" s="82" t="n">
        <v>622.26</v>
      </c>
      <c r="J12" s="82" t="n">
        <v>345.87</v>
      </c>
      <c r="K12" s="82" t="n">
        <v>317.93</v>
      </c>
      <c r="L12" s="82" t="n">
        <v>262.53</v>
      </c>
      <c r="M12" s="81" t="n">
        <v>1179.02</v>
      </c>
      <c r="N12" s="81" t="n">
        <v>1305.35</v>
      </c>
      <c r="O12" s="81" t="n">
        <v>1513.93</v>
      </c>
      <c r="P12" s="81" t="n">
        <v>1433.25</v>
      </c>
      <c r="Q12" s="81" t="n">
        <v>1890.45</v>
      </c>
      <c r="R12" s="83" t="n">
        <v>3115.82</v>
      </c>
      <c r="S12" s="83" t="n">
        <v>4385.6</v>
      </c>
      <c r="T12" s="83" t="n">
        <v>5650.32</v>
      </c>
      <c r="U12" s="79" t="n">
        <v>8258.879999999999</v>
      </c>
      <c r="V12" s="80" t="n">
        <v>13547.46</v>
      </c>
      <c r="W12" s="80" t="n">
        <v>17042.59</v>
      </c>
      <c r="X12" s="79" t="n">
        <v>8067.77</v>
      </c>
      <c r="Y12" s="79" t="n">
        <v>7311.33</v>
      </c>
      <c r="Z12" s="83" t="n">
        <v>2719.71</v>
      </c>
      <c r="AA12" s="81" t="n">
        <v>1973.6</v>
      </c>
    </row>
    <row r="13" ht="19.5" customHeight="1" s="111">
      <c r="A13" s="55" t="inlineStr">
        <is>
          <t>NLARSW-PILONCIL 138KV</t>
        </is>
      </c>
      <c r="B13" s="56" t="inlineStr">
        <is>
          <t>🟢 Active</t>
        </is>
      </c>
      <c r="C13" s="57" t="n">
        <v>59654.53</v>
      </c>
      <c r="D13" s="80" t="n">
        <v>5617.55</v>
      </c>
      <c r="E13" s="80" t="n">
        <v>5546.82</v>
      </c>
      <c r="F13" s="80" t="n">
        <v>4468.11</v>
      </c>
      <c r="G13" s="79" t="n">
        <v>3991.56</v>
      </c>
      <c r="H13" s="79" t="n">
        <v>3535.61</v>
      </c>
      <c r="I13" s="79" t="n">
        <v>4411.91</v>
      </c>
      <c r="J13" s="83" t="n">
        <v>1968.52</v>
      </c>
      <c r="K13" s="83" t="n">
        <v>1849.97</v>
      </c>
      <c r="L13" s="83" t="n">
        <v>1163.11</v>
      </c>
      <c r="M13" s="81" t="n">
        <v>779.73</v>
      </c>
      <c r="N13" s="81" t="n">
        <v>536.63</v>
      </c>
      <c r="O13" s="81" t="n">
        <v>449.55</v>
      </c>
      <c r="P13" s="81" t="n">
        <v>548.0700000000001</v>
      </c>
      <c r="Q13" s="81" t="n">
        <v>520.62</v>
      </c>
      <c r="R13" s="81" t="n">
        <v>541.11</v>
      </c>
      <c r="S13" s="81" t="n">
        <v>717.1799999999999</v>
      </c>
      <c r="T13" s="83" t="n">
        <v>1103.9</v>
      </c>
      <c r="U13" s="83" t="n">
        <v>1406.76</v>
      </c>
      <c r="V13" s="83" t="n">
        <v>1016.29</v>
      </c>
      <c r="W13" s="79" t="n">
        <v>2775.17</v>
      </c>
      <c r="X13" s="79" t="n">
        <v>2575.22</v>
      </c>
      <c r="Y13" s="79" t="n">
        <v>2936.22</v>
      </c>
      <c r="Z13" s="80" t="n">
        <v>4839.01</v>
      </c>
      <c r="AA13" s="80" t="n">
        <v>6355.91</v>
      </c>
    </row>
    <row r="14" ht="19.5" customHeight="1" s="111">
      <c r="A14" s="55" t="inlineStr">
        <is>
          <t>MGSES-CATSW 345KV</t>
        </is>
      </c>
      <c r="B14" s="56" t="inlineStr">
        <is>
          <t>🟢 Active</t>
        </is>
      </c>
      <c r="C14" s="57" t="n">
        <v>31442.57</v>
      </c>
      <c r="D14" s="79" t="n">
        <v>1614.56</v>
      </c>
      <c r="E14" s="79" t="n">
        <v>1865.31</v>
      </c>
      <c r="F14" s="79" t="n">
        <v>1860.67</v>
      </c>
      <c r="G14" s="79" t="n">
        <v>1941.16</v>
      </c>
      <c r="H14" s="79" t="n">
        <v>1443.57</v>
      </c>
      <c r="I14" s="79" t="n">
        <v>1847.13</v>
      </c>
      <c r="J14" s="83" t="n">
        <v>1313.93</v>
      </c>
      <c r="K14" s="83" t="n">
        <v>1093.3</v>
      </c>
      <c r="L14" s="83" t="n">
        <v>742.74</v>
      </c>
      <c r="M14" s="81" t="n">
        <v>241.84</v>
      </c>
      <c r="N14" s="81" t="n">
        <v>424.34</v>
      </c>
      <c r="O14" s="81" t="n">
        <v>308.61</v>
      </c>
      <c r="P14" s="81" t="n">
        <v>171.39</v>
      </c>
      <c r="Q14" s="82" t="n">
        <v>27.01</v>
      </c>
      <c r="R14" s="82" t="n">
        <v>53.78</v>
      </c>
      <c r="S14" s="81" t="n">
        <v>167.27</v>
      </c>
      <c r="T14" s="83" t="n">
        <v>797.88</v>
      </c>
      <c r="U14" s="79" t="n">
        <v>1641.74</v>
      </c>
      <c r="V14" s="80" t="n">
        <v>2939.11</v>
      </c>
      <c r="W14" s="80" t="n">
        <v>2708.21</v>
      </c>
      <c r="X14" s="79" t="n">
        <v>1879.05</v>
      </c>
      <c r="Y14" s="83" t="n">
        <v>1197.21</v>
      </c>
      <c r="Z14" s="80" t="n">
        <v>3335.75</v>
      </c>
      <c r="AA14" s="79" t="n">
        <v>1827.01</v>
      </c>
    </row>
    <row r="15" ht="19.5" customHeight="1" s="111">
      <c r="A15" s="55" t="inlineStr">
        <is>
          <t>LOBO-LARDVNTH 138KV</t>
        </is>
      </c>
      <c r="B15" s="56" t="inlineStr">
        <is>
          <t>🟢 Active</t>
        </is>
      </c>
      <c r="C15" s="57" t="n">
        <v>37951.02</v>
      </c>
      <c r="D15" s="83" t="n">
        <v>1612.49</v>
      </c>
      <c r="E15" s="83" t="n">
        <v>1294.51</v>
      </c>
      <c r="F15" s="83" t="n">
        <v>880.24</v>
      </c>
      <c r="G15" s="81" t="n">
        <v>569.87</v>
      </c>
      <c r="H15" s="81" t="n">
        <v>429.57</v>
      </c>
      <c r="I15" s="81" t="n">
        <v>453.71</v>
      </c>
      <c r="J15" s="81" t="n">
        <v>562.4</v>
      </c>
      <c r="K15" s="81" t="n">
        <v>596.74</v>
      </c>
      <c r="L15" s="81" t="n">
        <v>584.41</v>
      </c>
      <c r="M15" s="81" t="n">
        <v>659.64</v>
      </c>
      <c r="N15" s="83" t="n">
        <v>921.51</v>
      </c>
      <c r="O15" s="83" t="n">
        <v>759.11</v>
      </c>
      <c r="P15" s="83" t="n">
        <v>742.65</v>
      </c>
      <c r="Q15" s="83" t="n">
        <v>932.14</v>
      </c>
      <c r="R15" s="83" t="n">
        <v>1077.88</v>
      </c>
      <c r="S15" s="83" t="n">
        <v>1433.85</v>
      </c>
      <c r="T15" s="79" t="n">
        <v>2046.02</v>
      </c>
      <c r="U15" s="80" t="n">
        <v>3113.17</v>
      </c>
      <c r="V15" s="80" t="n">
        <v>3340.8</v>
      </c>
      <c r="W15" s="79" t="n">
        <v>3034.76</v>
      </c>
      <c r="X15" s="80" t="n">
        <v>3335.27</v>
      </c>
      <c r="Y15" s="80" t="n">
        <v>4415.43</v>
      </c>
      <c r="Z15" s="79" t="n">
        <v>2989.97</v>
      </c>
      <c r="AA15" s="79" t="n">
        <v>2164.88</v>
      </c>
    </row>
    <row r="16" ht="19.5" customHeight="1" s="111">
      <c r="A16" s="55" t="inlineStr">
        <is>
          <t>ESCONDID-GANSO 138KV</t>
        </is>
      </c>
      <c r="B16" s="56" t="inlineStr">
        <is>
          <t>🟢 Active</t>
        </is>
      </c>
      <c r="C16" s="57" t="n">
        <v>33325.75</v>
      </c>
      <c r="D16" s="80" t="n">
        <v>2272.75</v>
      </c>
      <c r="E16" s="79" t="n">
        <v>1823.59</v>
      </c>
      <c r="F16" s="80" t="n">
        <v>1882.15</v>
      </c>
      <c r="G16" s="80" t="n">
        <v>1906</v>
      </c>
      <c r="H16" s="80" t="n">
        <v>1986.73</v>
      </c>
      <c r="I16" s="79" t="n">
        <v>1528.84</v>
      </c>
      <c r="J16" s="79" t="n">
        <v>1608.22</v>
      </c>
      <c r="K16" s="80" t="n">
        <v>2658.7</v>
      </c>
      <c r="L16" s="80" t="n">
        <v>2300.74</v>
      </c>
      <c r="M16" s="83" t="n">
        <v>1011.41</v>
      </c>
      <c r="N16" s="83" t="n">
        <v>656.9299999999999</v>
      </c>
      <c r="O16" s="79" t="n">
        <v>1085.99</v>
      </c>
      <c r="P16" s="83" t="n">
        <v>735.09</v>
      </c>
      <c r="Q16" s="83" t="n">
        <v>644.99</v>
      </c>
      <c r="R16" s="83" t="n">
        <v>605.74</v>
      </c>
      <c r="S16" s="83" t="n">
        <v>479.31</v>
      </c>
      <c r="T16" s="79" t="n">
        <v>1386.94</v>
      </c>
      <c r="U16" s="79" t="n">
        <v>1190.33</v>
      </c>
      <c r="V16" s="83" t="n">
        <v>825.08</v>
      </c>
      <c r="W16" s="83" t="n">
        <v>858.59</v>
      </c>
      <c r="X16" s="79" t="n">
        <v>1303.51</v>
      </c>
      <c r="Y16" s="83" t="n">
        <v>1002.98</v>
      </c>
      <c r="Z16" s="79" t="n">
        <v>1527.27</v>
      </c>
      <c r="AA16" s="80" t="n">
        <v>2043.87</v>
      </c>
    </row>
    <row r="17" ht="19.5" customHeight="1" s="111">
      <c r="A17" s="55" t="inlineStr">
        <is>
          <t>BCESW-SNDSW 345KV</t>
        </is>
      </c>
      <c r="B17" s="56" t="inlineStr">
        <is>
          <t>🟢 Active</t>
        </is>
      </c>
      <c r="C17" s="57" t="n">
        <v>32240.3</v>
      </c>
      <c r="D17" s="81" t="n">
        <v>288.26</v>
      </c>
      <c r="E17" s="81" t="n">
        <v>253.67</v>
      </c>
      <c r="F17" s="81" t="n">
        <v>253.78</v>
      </c>
      <c r="G17" s="82" t="n">
        <v>156.02</v>
      </c>
      <c r="H17" s="82" t="n">
        <v>59.26</v>
      </c>
      <c r="I17" s="82" t="n">
        <v>75.06999999999999</v>
      </c>
      <c r="J17" s="82" t="n">
        <v>205.46</v>
      </c>
      <c r="K17" s="81" t="n">
        <v>296.05</v>
      </c>
      <c r="L17" s="81" t="n">
        <v>629.96</v>
      </c>
      <c r="M17" s="83" t="n">
        <v>1399.44</v>
      </c>
      <c r="N17" s="83" t="n">
        <v>1396.89</v>
      </c>
      <c r="O17" s="79" t="n">
        <v>1976.95</v>
      </c>
      <c r="P17" s="79" t="n">
        <v>2257.87</v>
      </c>
      <c r="Q17" s="79" t="n">
        <v>2949.19</v>
      </c>
      <c r="R17" s="80" t="n">
        <v>3758.9</v>
      </c>
      <c r="S17" s="80" t="n">
        <v>4072.73</v>
      </c>
      <c r="T17" s="80" t="n">
        <v>4766.5</v>
      </c>
      <c r="U17" s="80" t="n">
        <v>4503.34</v>
      </c>
      <c r="V17" s="83" t="n">
        <v>1598.82</v>
      </c>
      <c r="W17" s="82" t="n">
        <v>233.58</v>
      </c>
      <c r="X17" s="81" t="n">
        <v>279.89</v>
      </c>
      <c r="Y17" s="82" t="n">
        <v>235.08</v>
      </c>
      <c r="Z17" s="81" t="n">
        <v>272.5</v>
      </c>
      <c r="AA17" s="81" t="n">
        <v>321.09</v>
      </c>
    </row>
    <row r="18" ht="19.5" customHeight="1" s="111">
      <c r="A18" s="55" t="inlineStr">
        <is>
          <t>LNGSW-CONSW 345KV</t>
        </is>
      </c>
      <c r="B18" s="56" t="inlineStr">
        <is>
          <t>🟢 Active</t>
        </is>
      </c>
      <c r="C18" s="57" t="n">
        <v>30989.79</v>
      </c>
      <c r="D18" s="80" t="n">
        <v>4086.86</v>
      </c>
      <c r="E18" s="80" t="n">
        <v>3745.26</v>
      </c>
      <c r="F18" s="80" t="n">
        <v>3211.53</v>
      </c>
      <c r="G18" s="80" t="n">
        <v>2996.59</v>
      </c>
      <c r="H18" s="80" t="n">
        <v>2905.08</v>
      </c>
      <c r="I18" s="79" t="n">
        <v>2210.82</v>
      </c>
      <c r="J18" s="83" t="n">
        <v>1592.44</v>
      </c>
      <c r="K18" s="83" t="n">
        <v>672.79</v>
      </c>
      <c r="L18" s="81" t="n">
        <v>254.66</v>
      </c>
      <c r="M18" s="81" t="n">
        <v>266.87</v>
      </c>
      <c r="N18" s="82" t="n">
        <v>174.72</v>
      </c>
      <c r="O18" s="82" t="n">
        <v>177.29</v>
      </c>
      <c r="P18" s="82" t="n">
        <v>145.49</v>
      </c>
      <c r="Q18" s="82" t="n">
        <v>141.08</v>
      </c>
      <c r="R18" s="82" t="n">
        <v>122.16</v>
      </c>
      <c r="S18" s="82" t="n">
        <v>83.53</v>
      </c>
      <c r="T18" s="82" t="n">
        <v>83.41</v>
      </c>
      <c r="U18" s="82" t="n">
        <v>113.11</v>
      </c>
      <c r="V18" s="81" t="n">
        <v>546.52</v>
      </c>
      <c r="W18" s="81" t="n">
        <v>356.42</v>
      </c>
      <c r="X18" s="81" t="n">
        <v>556.64</v>
      </c>
      <c r="Y18" s="83" t="n">
        <v>1059.67</v>
      </c>
      <c r="Z18" s="79" t="n">
        <v>2265.1</v>
      </c>
      <c r="AA18" s="80" t="n">
        <v>3221.75</v>
      </c>
    </row>
    <row r="19" ht="19.5" customHeight="1" s="111">
      <c r="A19" s="55" t="inlineStr">
        <is>
          <t>YELWJCKT-FORTMA 138KV</t>
        </is>
      </c>
      <c r="B19" s="56" t="inlineStr">
        <is>
          <t>🟢 Active</t>
        </is>
      </c>
      <c r="C19" s="57" t="n">
        <v>18780.08</v>
      </c>
      <c r="D19" s="79" t="n">
        <v>838.61</v>
      </c>
      <c r="E19" s="79" t="n">
        <v>708.63</v>
      </c>
      <c r="F19" s="79" t="n">
        <v>866.54</v>
      </c>
      <c r="G19" s="79" t="n">
        <v>1018.41</v>
      </c>
      <c r="H19" s="79" t="n">
        <v>1120.39</v>
      </c>
      <c r="I19" s="80" t="n">
        <v>1514.25</v>
      </c>
      <c r="J19" s="80" t="n">
        <v>1695.8</v>
      </c>
      <c r="K19" s="79" t="n">
        <v>998.7</v>
      </c>
      <c r="L19" s="79" t="n">
        <v>986.58</v>
      </c>
      <c r="M19" s="79" t="n">
        <v>974.5700000000001</v>
      </c>
      <c r="N19" s="83" t="n">
        <v>418.53</v>
      </c>
      <c r="O19" s="83" t="n">
        <v>462.55</v>
      </c>
      <c r="P19" s="83" t="n">
        <v>425.85</v>
      </c>
      <c r="Q19" s="83" t="n">
        <v>511.04</v>
      </c>
      <c r="R19" s="79" t="n">
        <v>689.88</v>
      </c>
      <c r="S19" s="83" t="n">
        <v>584.12</v>
      </c>
      <c r="T19" s="79" t="n">
        <v>1013.98</v>
      </c>
      <c r="U19" s="83" t="n">
        <v>419.11</v>
      </c>
      <c r="V19" s="83" t="n">
        <v>329.65</v>
      </c>
      <c r="W19" s="83" t="n">
        <v>344.62</v>
      </c>
      <c r="X19" s="79" t="n">
        <v>809.24</v>
      </c>
      <c r="Y19" s="79" t="n">
        <v>772.8099999999999</v>
      </c>
      <c r="Z19" s="83" t="n">
        <v>675.08</v>
      </c>
      <c r="AA19" s="83" t="n">
        <v>601.14</v>
      </c>
    </row>
    <row r="20" ht="19.5" customHeight="1" s="111">
      <c r="A20" s="55" t="inlineStr">
        <is>
          <t>Legend:</t>
        </is>
      </c>
      <c r="B20" s="56" t="inlineStr">
        <is>
          <t>🟢 Active = detailed MCC analysis completed</t>
        </is>
      </c>
      <c r="C20" s="57" t="n">
        <v>0</v>
      </c>
      <c r="D20" s="82" t="n"/>
      <c r="E20" s="82" t="n"/>
      <c r="F20" s="82" t="n"/>
      <c r="G20" s="82" t="n"/>
      <c r="H20" s="82" t="n"/>
      <c r="I20" s="82" t="n"/>
      <c r="J20" s="82" t="n"/>
      <c r="K20" s="82" t="n"/>
      <c r="L20" s="82" t="n"/>
      <c r="M20" s="82" t="n"/>
      <c r="N20" s="82" t="n"/>
      <c r="O20" s="82" t="n"/>
      <c r="P20" s="82" t="n"/>
      <c r="Q20" s="82" t="n"/>
      <c r="R20" s="82" t="n"/>
      <c r="S20" s="82" t="n"/>
      <c r="T20" s="82" t="n"/>
      <c r="U20" s="82" t="n"/>
      <c r="V20" s="82" t="n"/>
      <c r="W20" s="82" t="n"/>
      <c r="X20" s="82" t="n"/>
      <c r="Y20" s="82" t="n"/>
      <c r="Z20" s="82" t="n"/>
      <c r="AA20" s="82" t="n"/>
    </row>
    <row r="21" ht="19.5" customHeight="1" s="111">
      <c r="A21" s="65" t="inlineStr">
        <is>
          <t>ASHERTON-CATARINA 138KV</t>
        </is>
      </c>
      <c r="B21" s="66" t="inlineStr">
        <is>
          <t>🟡 Watch</t>
        </is>
      </c>
      <c r="C21" s="70" t="n">
        <v>23033.53</v>
      </c>
      <c r="D21" s="82" t="n"/>
      <c r="E21" s="82" t="n"/>
      <c r="F21" s="82" t="n"/>
      <c r="G21" s="82" t="n"/>
      <c r="H21" s="82" t="n"/>
      <c r="I21" s="82" t="n"/>
      <c r="J21" s="82" t="n"/>
      <c r="K21" s="82" t="n"/>
      <c r="L21" s="81" t="n">
        <v>333.66</v>
      </c>
      <c r="M21" s="83" t="n">
        <v>1115.4</v>
      </c>
      <c r="N21" s="79" t="n">
        <v>2020.27</v>
      </c>
      <c r="O21" s="80" t="n">
        <v>2963.52</v>
      </c>
      <c r="P21" s="80" t="n">
        <v>3376.63</v>
      </c>
      <c r="Q21" s="80" t="n">
        <v>2919.27</v>
      </c>
      <c r="R21" s="80" t="n">
        <v>2602.16</v>
      </c>
      <c r="S21" s="80" t="n">
        <v>2808.89</v>
      </c>
      <c r="T21" s="80" t="n">
        <v>2593.83</v>
      </c>
      <c r="U21" s="79" t="n">
        <v>1548.22</v>
      </c>
      <c r="V21" s="83" t="n">
        <v>693.24</v>
      </c>
      <c r="W21" s="82" t="n">
        <v>58.44</v>
      </c>
      <c r="X21" s="82" t="n"/>
      <c r="Y21" s="82" t="n"/>
      <c r="Z21" s="82" t="n"/>
      <c r="AA21" s="82" t="n"/>
    </row>
    <row r="22" ht="19.5" customHeight="1" s="111">
      <c r="A22" s="65" t="inlineStr">
        <is>
          <t>MRVLY-ESTLD 69KV</t>
        </is>
      </c>
      <c r="B22" s="66" t="inlineStr">
        <is>
          <t>🟡 Watch</t>
        </is>
      </c>
      <c r="C22" s="70" t="n">
        <v>134306.39</v>
      </c>
      <c r="D22" s="83" t="n">
        <v>2632.71</v>
      </c>
      <c r="E22" s="83" t="n">
        <v>3167.6</v>
      </c>
      <c r="F22" s="83" t="n">
        <v>3044.79</v>
      </c>
      <c r="G22" s="83" t="n">
        <v>3037.09</v>
      </c>
      <c r="H22" s="83" t="n">
        <v>3602.14</v>
      </c>
      <c r="I22" s="79" t="n">
        <v>6913.3</v>
      </c>
      <c r="J22" s="79" t="n">
        <v>8532.41</v>
      </c>
      <c r="K22" s="79" t="n">
        <v>9743.950000000001</v>
      </c>
      <c r="L22" s="83" t="n">
        <v>5032.52</v>
      </c>
      <c r="M22" s="81" t="n">
        <v>1708.56</v>
      </c>
      <c r="N22" s="82" t="n">
        <v>673.8200000000001</v>
      </c>
      <c r="O22" s="82" t="n">
        <v>434.39</v>
      </c>
      <c r="P22" s="82" t="n">
        <v>522.02</v>
      </c>
      <c r="Q22" s="82" t="n">
        <v>268.07</v>
      </c>
      <c r="R22" s="83" t="n">
        <v>2631.71</v>
      </c>
      <c r="S22" s="81" t="n">
        <v>2097.29</v>
      </c>
      <c r="T22" s="83" t="n">
        <v>3176.64</v>
      </c>
      <c r="U22" s="79" t="n">
        <v>7733.18</v>
      </c>
      <c r="V22" s="80" t="n">
        <v>14859.49</v>
      </c>
      <c r="W22" s="80" t="n">
        <v>15436.69</v>
      </c>
      <c r="X22" s="80" t="n">
        <v>12993.3</v>
      </c>
      <c r="Y22" s="80" t="n">
        <v>11194.25</v>
      </c>
      <c r="Z22" s="79" t="n">
        <v>8358.290000000001</v>
      </c>
      <c r="AA22" s="79" t="n">
        <v>6512.18</v>
      </c>
    </row>
    <row r="23" ht="19.5" customHeight="1" s="111">
      <c r="A23" s="65" t="inlineStr">
        <is>
          <t>STP-WAP 345KV</t>
        </is>
      </c>
      <c r="B23" s="66" t="inlineStr">
        <is>
          <t>🟡 Watch</t>
        </is>
      </c>
      <c r="C23" s="70" t="n">
        <v>33834.4</v>
      </c>
      <c r="D23" s="82" t="n">
        <v>1.02</v>
      </c>
      <c r="E23" s="82" t="n"/>
      <c r="F23" s="82" t="n"/>
      <c r="G23" s="82" t="n"/>
      <c r="H23" s="82" t="n"/>
      <c r="I23" s="82" t="n"/>
      <c r="J23" s="82" t="n"/>
      <c r="K23" s="82" t="n"/>
      <c r="L23" s="82" t="n">
        <v>93.47</v>
      </c>
      <c r="M23" s="81" t="n">
        <v>583.51</v>
      </c>
      <c r="N23" s="83" t="n">
        <v>1310.42</v>
      </c>
      <c r="O23" s="83" t="n">
        <v>2267.37</v>
      </c>
      <c r="P23" s="80" t="n">
        <v>4378.74</v>
      </c>
      <c r="Q23" s="79" t="n">
        <v>4131.06</v>
      </c>
      <c r="R23" s="80" t="n">
        <v>4376.04</v>
      </c>
      <c r="S23" s="80" t="n">
        <v>5652.8</v>
      </c>
      <c r="T23" s="80" t="n">
        <v>6104.37</v>
      </c>
      <c r="U23" s="79" t="n">
        <v>4051.3</v>
      </c>
      <c r="V23" s="81" t="n">
        <v>867.58</v>
      </c>
      <c r="W23" s="82" t="n">
        <v>16.72</v>
      </c>
      <c r="X23" s="82" t="n"/>
      <c r="Y23" s="82" t="n"/>
      <c r="Z23" s="82" t="n"/>
      <c r="AA23" s="82" t="n"/>
    </row>
    <row r="24" ht="19.5" customHeight="1" s="111">
      <c r="A24" s="65" t="inlineStr">
        <is>
          <t>PALOUSE-WOLFCAMP 138KV</t>
        </is>
      </c>
      <c r="B24" s="66" t="inlineStr">
        <is>
          <t>🟡 Watch</t>
        </is>
      </c>
      <c r="C24" s="70" t="n">
        <v>49238.51</v>
      </c>
      <c r="D24" s="82" t="n"/>
      <c r="E24" s="82" t="n"/>
      <c r="F24" s="82" t="n"/>
      <c r="G24" s="82" t="n"/>
      <c r="H24" s="82" t="n"/>
      <c r="I24" s="82" t="n"/>
      <c r="J24" s="82" t="n">
        <v>105.29</v>
      </c>
      <c r="K24" s="81" t="n">
        <v>407.76</v>
      </c>
      <c r="L24" s="81" t="n">
        <v>596.71</v>
      </c>
      <c r="M24" s="83" t="n">
        <v>1520.39</v>
      </c>
      <c r="N24" s="83" t="n">
        <v>2233.12</v>
      </c>
      <c r="O24" s="79" t="n">
        <v>3432.43</v>
      </c>
      <c r="P24" s="80" t="n">
        <v>4606.39</v>
      </c>
      <c r="Q24" s="80" t="n">
        <v>5094.25</v>
      </c>
      <c r="R24" s="80" t="n">
        <v>5834.43</v>
      </c>
      <c r="S24" s="80" t="n">
        <v>5859.12</v>
      </c>
      <c r="T24" s="80" t="n">
        <v>6010.54</v>
      </c>
      <c r="U24" s="80" t="n">
        <v>6255.62</v>
      </c>
      <c r="V24" s="80" t="n">
        <v>4731.67</v>
      </c>
      <c r="W24" s="83" t="n">
        <v>2377.63</v>
      </c>
      <c r="X24" s="82" t="n">
        <v>173.16</v>
      </c>
      <c r="Y24" s="82" t="n"/>
      <c r="Z24" s="82" t="n"/>
      <c r="AA24" s="82" t="n"/>
    </row>
    <row r="25" ht="19.5" customHeight="1" s="111">
      <c r="A25" s="65" t="inlineStr">
        <is>
          <t>LPLMK-LPLNE 115KV</t>
        </is>
      </c>
      <c r="B25" s="66" t="inlineStr">
        <is>
          <t>🟡 Watch</t>
        </is>
      </c>
      <c r="C25" s="70" t="n">
        <v>266579.96</v>
      </c>
      <c r="D25" s="83" t="n">
        <v>9373.799999999999</v>
      </c>
      <c r="E25" s="83" t="n">
        <v>9871.73</v>
      </c>
      <c r="F25" s="83" t="n">
        <v>9413.469999999999</v>
      </c>
      <c r="G25" s="79" t="n">
        <v>11832.5</v>
      </c>
      <c r="H25" s="79" t="n">
        <v>12975.74</v>
      </c>
      <c r="I25" s="79" t="n">
        <v>12869.99</v>
      </c>
      <c r="J25" s="79" t="n">
        <v>13338.17</v>
      </c>
      <c r="K25" s="79" t="n">
        <v>11749.25</v>
      </c>
      <c r="L25" s="83" t="n">
        <v>5067.11</v>
      </c>
      <c r="M25" s="81" t="n">
        <v>3738.85</v>
      </c>
      <c r="N25" s="81" t="n">
        <v>3417.93</v>
      </c>
      <c r="O25" s="81" t="n">
        <v>3017.02</v>
      </c>
      <c r="P25" s="81" t="n">
        <v>3405.03</v>
      </c>
      <c r="Q25" s="81" t="n">
        <v>3827.47</v>
      </c>
      <c r="R25" s="83" t="n">
        <v>4683.52</v>
      </c>
      <c r="S25" s="83" t="n">
        <v>5228.69</v>
      </c>
      <c r="T25" s="83" t="n">
        <v>6950.44</v>
      </c>
      <c r="U25" s="79" t="n">
        <v>10822.07</v>
      </c>
      <c r="V25" s="80" t="n">
        <v>22395.26</v>
      </c>
      <c r="W25" s="80" t="n">
        <v>23860.37</v>
      </c>
      <c r="X25" s="80" t="n">
        <v>26134.15</v>
      </c>
      <c r="Y25" s="80" t="n">
        <v>25904.33</v>
      </c>
      <c r="Z25" s="79" t="n">
        <v>16141.9</v>
      </c>
      <c r="AA25" s="79" t="n">
        <v>10561.17</v>
      </c>
    </row>
    <row r="26" ht="19.5" customHeight="1" s="111">
      <c r="A26" s="65" t="inlineStr">
        <is>
          <t>CRDSW-OLNEY 69KV</t>
        </is>
      </c>
      <c r="B26" s="66" t="inlineStr">
        <is>
          <t>🟡 Watch</t>
        </is>
      </c>
      <c r="C26" s="70" t="n">
        <v>14861.86</v>
      </c>
      <c r="D26" s="82" t="n">
        <v>4.5</v>
      </c>
      <c r="E26" s="82" t="n">
        <v>1.31</v>
      </c>
      <c r="F26" s="82" t="n">
        <v>1.9</v>
      </c>
      <c r="G26" s="82" t="n"/>
      <c r="H26" s="81" t="n">
        <v>405.43</v>
      </c>
      <c r="I26" s="82" t="n">
        <v>13.12</v>
      </c>
      <c r="J26" s="82" t="n"/>
      <c r="K26" s="82" t="n"/>
      <c r="L26" s="82" t="n"/>
      <c r="M26" s="82" t="n">
        <v>18.68</v>
      </c>
      <c r="N26" s="82" t="n">
        <v>72.17</v>
      </c>
      <c r="O26" s="82" t="n">
        <v>128.38</v>
      </c>
      <c r="P26" s="81" t="n">
        <v>434.43</v>
      </c>
      <c r="Q26" s="83" t="n">
        <v>1025.09</v>
      </c>
      <c r="R26" s="79" t="n">
        <v>1775.1</v>
      </c>
      <c r="S26" s="80" t="n">
        <v>2729.23</v>
      </c>
      <c r="T26" s="80" t="n">
        <v>3263.9</v>
      </c>
      <c r="U26" s="80" t="n">
        <v>3193.1</v>
      </c>
      <c r="V26" s="79" t="n">
        <v>1504.84</v>
      </c>
      <c r="W26" s="81" t="n">
        <v>274.5</v>
      </c>
      <c r="X26" s="82" t="n">
        <v>10.53</v>
      </c>
      <c r="Y26" s="82" t="n"/>
      <c r="Z26" s="82" t="n">
        <v>4.04</v>
      </c>
      <c r="AA26" s="82" t="n">
        <v>1.61</v>
      </c>
    </row>
    <row r="27" ht="19.5" customHeight="1" s="111">
      <c r="A27" s="65" t="inlineStr">
        <is>
          <t>HONDOCK-DEVINESW 69KV</t>
        </is>
      </c>
      <c r="B27" s="66" t="inlineStr">
        <is>
          <t>🟡 Watch</t>
        </is>
      </c>
      <c r="C27" s="70" t="n">
        <v>57961.31</v>
      </c>
      <c r="D27" s="82" t="n"/>
      <c r="E27" s="82" t="n"/>
      <c r="F27" s="82" t="n"/>
      <c r="G27" s="82" t="n"/>
      <c r="H27" s="82" t="n"/>
      <c r="I27" s="82" t="n"/>
      <c r="J27" s="82" t="n"/>
      <c r="K27" s="82" t="n">
        <v>19.02</v>
      </c>
      <c r="L27" s="82" t="n">
        <v>243.15</v>
      </c>
      <c r="M27" s="83" t="n">
        <v>1567.33</v>
      </c>
      <c r="N27" s="83" t="n">
        <v>2907.55</v>
      </c>
      <c r="O27" s="83" t="n">
        <v>3372.99</v>
      </c>
      <c r="P27" s="79" t="n">
        <v>5123.2</v>
      </c>
      <c r="Q27" s="80" t="n">
        <v>6627.85</v>
      </c>
      <c r="R27" s="80" t="n">
        <v>7603.35</v>
      </c>
      <c r="S27" s="80" t="n">
        <v>8854.540000000001</v>
      </c>
      <c r="T27" s="80" t="n">
        <v>7704.46</v>
      </c>
      <c r="U27" s="80" t="n">
        <v>8180.35</v>
      </c>
      <c r="V27" s="79" t="n">
        <v>5757.52</v>
      </c>
      <c r="W27" s="82" t="n"/>
      <c r="X27" s="82" t="n"/>
      <c r="Y27" s="82" t="n"/>
      <c r="Z27" s="82" t="n"/>
      <c r="AA27" s="82" t="n"/>
    </row>
    <row r="28" ht="19.5" customHeight="1" s="111">
      <c r="A28" s="65" t="inlineStr">
        <is>
          <t>I_FW_N</t>
        </is>
      </c>
      <c r="B28" s="66" t="inlineStr">
        <is>
          <t>🟡 Watch</t>
        </is>
      </c>
      <c r="C28" s="70" t="n">
        <v>20645.72</v>
      </c>
      <c r="D28" s="79" t="n">
        <v>1099.23</v>
      </c>
      <c r="E28" s="79" t="n">
        <v>1401.06</v>
      </c>
      <c r="F28" s="80" t="n">
        <v>1751.5</v>
      </c>
      <c r="G28" s="80" t="n">
        <v>1826.9</v>
      </c>
      <c r="H28" s="80" t="n">
        <v>2151.59</v>
      </c>
      <c r="I28" s="80" t="n">
        <v>1942.22</v>
      </c>
      <c r="J28" s="79" t="n">
        <v>1414.12</v>
      </c>
      <c r="K28" s="80" t="n">
        <v>1533.12</v>
      </c>
      <c r="L28" s="83" t="n">
        <v>854.4</v>
      </c>
      <c r="M28" s="81" t="n">
        <v>112.26</v>
      </c>
      <c r="N28" s="82" t="n">
        <v>84.83</v>
      </c>
      <c r="O28" s="82" t="n">
        <v>55.38</v>
      </c>
      <c r="P28" s="82" t="n">
        <v>57.12</v>
      </c>
      <c r="Q28" s="82" t="n">
        <v>53.85</v>
      </c>
      <c r="R28" s="82" t="n">
        <v>92.8</v>
      </c>
      <c r="S28" s="82" t="n">
        <v>41.21</v>
      </c>
      <c r="T28" s="81" t="n">
        <v>131.4</v>
      </c>
      <c r="U28" s="82" t="n">
        <v>82.22</v>
      </c>
      <c r="V28" s="81" t="n">
        <v>151.14</v>
      </c>
      <c r="W28" s="83" t="n">
        <v>465.94</v>
      </c>
      <c r="X28" s="79" t="n">
        <v>997.42</v>
      </c>
      <c r="Y28" s="79" t="n">
        <v>1365.76</v>
      </c>
      <c r="Z28" s="80" t="n">
        <v>1634.32</v>
      </c>
      <c r="AA28" s="79" t="n">
        <v>1345.93</v>
      </c>
    </row>
    <row r="29" ht="19.5" customHeight="1" s="111">
      <c r="A29" s="65" t="inlineStr">
        <is>
          <t>CARVER-TINSLEY 138KV</t>
        </is>
      </c>
      <c r="B29" s="66" t="inlineStr">
        <is>
          <t>🟡 Watch</t>
        </is>
      </c>
      <c r="C29" s="70" t="n">
        <v>14200.33</v>
      </c>
      <c r="D29" s="79" t="n">
        <v>625.15</v>
      </c>
      <c r="E29" s="83" t="n">
        <v>553.62</v>
      </c>
      <c r="F29" s="83" t="n">
        <v>320.19</v>
      </c>
      <c r="G29" s="83" t="n">
        <v>364.32</v>
      </c>
      <c r="H29" s="83" t="n">
        <v>582.27</v>
      </c>
      <c r="I29" s="81" t="n">
        <v>201.81</v>
      </c>
      <c r="J29" s="82" t="n">
        <v>66.59999999999999</v>
      </c>
      <c r="K29" s="81" t="n">
        <v>75</v>
      </c>
      <c r="L29" s="81" t="n">
        <v>165.94</v>
      </c>
      <c r="M29" s="79" t="n">
        <v>672.8200000000001</v>
      </c>
      <c r="N29" s="79" t="n">
        <v>846.51</v>
      </c>
      <c r="O29" s="79" t="n">
        <v>593.15</v>
      </c>
      <c r="P29" s="83" t="n">
        <v>501.89</v>
      </c>
      <c r="Q29" s="81" t="n">
        <v>220.39</v>
      </c>
      <c r="R29" s="83" t="n">
        <v>231.33</v>
      </c>
      <c r="S29" s="79" t="n">
        <v>799.3200000000001</v>
      </c>
      <c r="T29" s="79" t="n">
        <v>766.59</v>
      </c>
      <c r="U29" s="79" t="n">
        <v>771.24</v>
      </c>
      <c r="V29" s="83" t="n">
        <v>366.03</v>
      </c>
      <c r="W29" s="80" t="n">
        <v>1396.82</v>
      </c>
      <c r="X29" s="80" t="n">
        <v>1474.42</v>
      </c>
      <c r="Y29" s="79" t="n">
        <v>996.72</v>
      </c>
      <c r="Z29" s="79" t="n">
        <v>888.65</v>
      </c>
      <c r="AA29" s="79" t="n">
        <v>719.55</v>
      </c>
    </row>
    <row r="30" ht="19.5" customHeight="1" s="111">
      <c r="A30" s="65" t="inlineStr">
        <is>
          <t>BIG_FOOT-PLEASANT 138KV</t>
        </is>
      </c>
      <c r="B30" s="66" t="inlineStr">
        <is>
          <t>🟡 Watch</t>
        </is>
      </c>
      <c r="C30" s="70" t="n">
        <v>26156.41</v>
      </c>
      <c r="D30" s="82" t="n"/>
      <c r="E30" s="82" t="n"/>
      <c r="F30" s="82" t="n"/>
      <c r="G30" s="82" t="n"/>
      <c r="H30" s="82" t="n"/>
      <c r="I30" s="82" t="n"/>
      <c r="J30" s="82" t="n"/>
      <c r="K30" s="82" t="n"/>
      <c r="L30" s="82" t="n">
        <v>51.2</v>
      </c>
      <c r="M30" s="83" t="n">
        <v>888.78</v>
      </c>
      <c r="N30" s="79" t="n">
        <v>1963.97</v>
      </c>
      <c r="O30" s="80" t="n">
        <v>3301.9</v>
      </c>
      <c r="P30" s="80" t="n">
        <v>3954.66</v>
      </c>
      <c r="Q30" s="80" t="n">
        <v>3422.34</v>
      </c>
      <c r="R30" s="80" t="n">
        <v>3690.71</v>
      </c>
      <c r="S30" s="80" t="n">
        <v>3977.51</v>
      </c>
      <c r="T30" s="80" t="n">
        <v>3264.92</v>
      </c>
      <c r="U30" s="83" t="n">
        <v>1465.73</v>
      </c>
      <c r="V30" s="82" t="n">
        <v>173.85</v>
      </c>
      <c r="W30" s="82" t="n">
        <v>0.84</v>
      </c>
      <c r="X30" s="82" t="n"/>
      <c r="Y30" s="82" t="n"/>
      <c r="Z30" s="82" t="n"/>
      <c r="AA30" s="82" t="n"/>
    </row>
    <row r="31" ht="19.5" customHeight="1" s="111">
      <c r="A31" s="65" t="inlineStr">
        <is>
          <t>MASN-KATEMCY 69KV</t>
        </is>
      </c>
      <c r="B31" s="66" t="inlineStr">
        <is>
          <t>🟡 Watch</t>
        </is>
      </c>
      <c r="C31" s="70" t="n">
        <v>32915.57</v>
      </c>
      <c r="D31" s="81" t="n">
        <v>462.62</v>
      </c>
      <c r="E31" s="82" t="n">
        <v>1.95</v>
      </c>
      <c r="F31" s="82" t="n">
        <v>37.28</v>
      </c>
      <c r="G31" s="82" t="n">
        <v>31.56</v>
      </c>
      <c r="H31" s="81" t="n">
        <v>429.36</v>
      </c>
      <c r="I31" s="82" t="n">
        <v>146.9</v>
      </c>
      <c r="J31" s="81" t="n">
        <v>338.39</v>
      </c>
      <c r="K31" s="80" t="n">
        <v>3483.54</v>
      </c>
      <c r="L31" s="79" t="n">
        <v>2612.74</v>
      </c>
      <c r="M31" s="83" t="n">
        <v>1263.97</v>
      </c>
      <c r="N31" s="83" t="n">
        <v>760.92</v>
      </c>
      <c r="O31" s="82" t="n"/>
      <c r="P31" s="82" t="n"/>
      <c r="Q31" s="82" t="n"/>
      <c r="R31" s="82" t="n"/>
      <c r="S31" s="82" t="n"/>
      <c r="T31" s="82" t="n"/>
      <c r="U31" s="80" t="n">
        <v>4537.22</v>
      </c>
      <c r="V31" s="80" t="n">
        <v>4802.99</v>
      </c>
      <c r="W31" s="79" t="n">
        <v>2138.24</v>
      </c>
      <c r="X31" s="79" t="n">
        <v>2877.97</v>
      </c>
      <c r="Y31" s="80" t="n">
        <v>3484.48</v>
      </c>
      <c r="Z31" s="80" t="n">
        <v>3507.62</v>
      </c>
      <c r="AA31" s="79" t="n">
        <v>1997.82</v>
      </c>
    </row>
    <row r="32" ht="19.5" customHeight="1" s="111">
      <c r="A32" s="65" t="inlineStr">
        <is>
          <t>KLNSW-HHSTH 138KV</t>
        </is>
      </c>
      <c r="B32" s="66" t="inlineStr">
        <is>
          <t>🟡 Watch</t>
        </is>
      </c>
      <c r="C32" s="70" t="n">
        <v>42121</v>
      </c>
      <c r="D32" s="80" t="n">
        <v>2347.35</v>
      </c>
      <c r="E32" s="80" t="n">
        <v>2481.2</v>
      </c>
      <c r="F32" s="80" t="n">
        <v>2411.82</v>
      </c>
      <c r="G32" s="80" t="n">
        <v>2213.21</v>
      </c>
      <c r="H32" s="79" t="n">
        <v>1980.95</v>
      </c>
      <c r="I32" s="79" t="n">
        <v>1981.37</v>
      </c>
      <c r="J32" s="79" t="n">
        <v>1947.01</v>
      </c>
      <c r="K32" s="80" t="n">
        <v>2348.68</v>
      </c>
      <c r="L32" s="79" t="n">
        <v>1511.67</v>
      </c>
      <c r="M32" s="79" t="n">
        <v>1248.43</v>
      </c>
      <c r="N32" s="83" t="n">
        <v>914.67</v>
      </c>
      <c r="O32" s="83" t="n">
        <v>717.3099999999999</v>
      </c>
      <c r="P32" s="83" t="n">
        <v>672.9299999999999</v>
      </c>
      <c r="Q32" s="83" t="n">
        <v>710.72</v>
      </c>
      <c r="R32" s="83" t="n">
        <v>569.0599999999999</v>
      </c>
      <c r="S32" s="81" t="n">
        <v>446.46</v>
      </c>
      <c r="T32" s="83" t="n">
        <v>759.77</v>
      </c>
      <c r="U32" s="79" t="n">
        <v>1327.29</v>
      </c>
      <c r="V32" s="80" t="n">
        <v>2327.88</v>
      </c>
      <c r="W32" s="80" t="n">
        <v>2284.31</v>
      </c>
      <c r="X32" s="80" t="n">
        <v>2469.9</v>
      </c>
      <c r="Y32" s="80" t="n">
        <v>3094.09</v>
      </c>
      <c r="Z32" s="80" t="n">
        <v>2879.17</v>
      </c>
      <c r="AA32" s="80" t="n">
        <v>2475.75</v>
      </c>
    </row>
    <row r="33" ht="19.5" customHeight="1" s="111">
      <c r="A33" s="65" t="inlineStr">
        <is>
          <t>SAMSW-VENSW 345KV</t>
        </is>
      </c>
      <c r="B33" s="66" t="inlineStr">
        <is>
          <t>🟡 Watch</t>
        </is>
      </c>
      <c r="C33" s="70" t="n">
        <v>20889.84</v>
      </c>
      <c r="D33" s="82" t="n"/>
      <c r="E33" s="82" t="n"/>
      <c r="F33" s="82" t="n"/>
      <c r="G33" s="82" t="n"/>
      <c r="H33" s="82" t="n"/>
      <c r="I33" s="82" t="n"/>
      <c r="J33" s="82" t="n"/>
      <c r="K33" s="82" t="n"/>
      <c r="L33" s="81" t="n">
        <v>317.47</v>
      </c>
      <c r="M33" s="80" t="n">
        <v>2511.18</v>
      </c>
      <c r="N33" s="80" t="n">
        <v>3425.87</v>
      </c>
      <c r="O33" s="80" t="n">
        <v>3383.89</v>
      </c>
      <c r="P33" s="80" t="n">
        <v>3195.6</v>
      </c>
      <c r="Q33" s="80" t="n">
        <v>2827.63</v>
      </c>
      <c r="R33" s="79" t="n">
        <v>2197.21</v>
      </c>
      <c r="S33" s="79" t="n">
        <v>1730.95</v>
      </c>
      <c r="T33" s="83" t="n">
        <v>785.61</v>
      </c>
      <c r="U33" s="81" t="n">
        <v>394.73</v>
      </c>
      <c r="V33" s="82" t="n">
        <v>119.7</v>
      </c>
      <c r="W33" s="82" t="n"/>
      <c r="X33" s="82" t="n"/>
      <c r="Y33" s="82" t="n"/>
      <c r="Z33" s="82" t="n"/>
      <c r="AA33" s="82" t="n"/>
    </row>
    <row r="34" ht="19.5" customHeight="1" s="111">
      <c r="A34" s="65" t="inlineStr">
        <is>
          <t>MADDUX-TREADWEL 138KV</t>
        </is>
      </c>
      <c r="B34" s="66" t="inlineStr">
        <is>
          <t>🟡 Watch</t>
        </is>
      </c>
      <c r="C34" s="70" t="n">
        <v>18278.19</v>
      </c>
      <c r="D34" s="81" t="n">
        <v>184.3</v>
      </c>
      <c r="E34" s="82" t="n">
        <v>145.59</v>
      </c>
      <c r="F34" s="82" t="n">
        <v>123.73</v>
      </c>
      <c r="G34" s="82" t="n">
        <v>127</v>
      </c>
      <c r="H34" s="82" t="n">
        <v>33.79</v>
      </c>
      <c r="I34" s="82" t="n">
        <v>73.40000000000001</v>
      </c>
      <c r="J34" s="82" t="n">
        <v>147.31</v>
      </c>
      <c r="K34" s="82" t="n">
        <v>100.89</v>
      </c>
      <c r="L34" s="82" t="n">
        <v>17.41</v>
      </c>
      <c r="M34" s="81" t="n">
        <v>171.62</v>
      </c>
      <c r="N34" s="81" t="n">
        <v>276.95</v>
      </c>
      <c r="O34" s="83" t="n">
        <v>617.72</v>
      </c>
      <c r="P34" s="83" t="n">
        <v>1018.32</v>
      </c>
      <c r="Q34" s="79" t="n">
        <v>1359.94</v>
      </c>
      <c r="R34" s="79" t="n">
        <v>1815.76</v>
      </c>
      <c r="S34" s="79" t="n">
        <v>2318.53</v>
      </c>
      <c r="T34" s="80" t="n">
        <v>3327.37</v>
      </c>
      <c r="U34" s="80" t="n">
        <v>2557.19</v>
      </c>
      <c r="V34" s="79" t="n">
        <v>1668.52</v>
      </c>
      <c r="W34" s="83" t="n">
        <v>1087.54</v>
      </c>
      <c r="X34" s="81" t="n">
        <v>314.6</v>
      </c>
      <c r="Y34" s="81" t="n">
        <v>320.98</v>
      </c>
      <c r="Z34" s="81" t="n">
        <v>258.74</v>
      </c>
      <c r="AA34" s="81" t="n">
        <v>210.99</v>
      </c>
    </row>
    <row r="35" ht="19.5" customHeight="1" s="111">
      <c r="A35" s="65" t="inlineStr">
        <is>
          <t>PRLSW-CONSW 345KV</t>
        </is>
      </c>
      <c r="B35" s="66" t="inlineStr">
        <is>
          <t>🟡 Watch</t>
        </is>
      </c>
      <c r="C35" s="70" t="n">
        <v>8553.5</v>
      </c>
      <c r="D35" s="80" t="n">
        <v>690.6799999999999</v>
      </c>
      <c r="E35" s="80" t="n">
        <v>913.3200000000001</v>
      </c>
      <c r="F35" s="79" t="n">
        <v>566.36</v>
      </c>
      <c r="G35" s="80" t="n">
        <v>692.95</v>
      </c>
      <c r="H35" s="80" t="n">
        <v>655.64</v>
      </c>
      <c r="I35" s="79" t="n">
        <v>433.52</v>
      </c>
      <c r="J35" s="83" t="n">
        <v>312.18</v>
      </c>
      <c r="K35" s="83" t="n">
        <v>185.38</v>
      </c>
      <c r="L35" s="83" t="n">
        <v>138.07</v>
      </c>
      <c r="M35" s="83" t="n">
        <v>180.76</v>
      </c>
      <c r="N35" s="83" t="n">
        <v>218.65</v>
      </c>
      <c r="O35" s="83" t="n">
        <v>141.86</v>
      </c>
      <c r="P35" s="81" t="n">
        <v>50.81</v>
      </c>
      <c r="Q35" s="81" t="n">
        <v>46.44</v>
      </c>
      <c r="R35" s="81" t="n">
        <v>65.94</v>
      </c>
      <c r="S35" s="81" t="n">
        <v>55.31</v>
      </c>
      <c r="T35" s="82" t="n">
        <v>4.46</v>
      </c>
      <c r="U35" s="83" t="n">
        <v>318.76</v>
      </c>
      <c r="V35" s="79" t="n">
        <v>393.73</v>
      </c>
      <c r="W35" s="83" t="n">
        <v>267.11</v>
      </c>
      <c r="X35" s="79" t="n">
        <v>481.63</v>
      </c>
      <c r="Y35" s="79" t="n">
        <v>609.67</v>
      </c>
      <c r="Z35" s="79" t="n">
        <v>513.09</v>
      </c>
      <c r="AA35" s="79" t="n">
        <v>617.1799999999999</v>
      </c>
    </row>
    <row r="36" ht="19.5" customHeight="1" s="111">
      <c r="A36" s="65" t="inlineStr">
        <is>
          <t>MAXWELL-HAMILTON 138KV</t>
        </is>
      </c>
      <c r="B36" s="66" t="inlineStr">
        <is>
          <t>🟡 Watch</t>
        </is>
      </c>
      <c r="C36" s="70" t="n">
        <v>14519.92</v>
      </c>
      <c r="D36" s="80" t="n">
        <v>1371.62</v>
      </c>
      <c r="E36" s="80" t="n">
        <v>1628.62</v>
      </c>
      <c r="F36" s="80" t="n">
        <v>1351.71</v>
      </c>
      <c r="G36" s="79" t="n">
        <v>1066.23</v>
      </c>
      <c r="H36" s="79" t="n">
        <v>925.01</v>
      </c>
      <c r="I36" s="83" t="n">
        <v>592</v>
      </c>
      <c r="J36" s="79" t="n">
        <v>680.58</v>
      </c>
      <c r="K36" s="83" t="n">
        <v>541.95</v>
      </c>
      <c r="L36" s="83" t="n">
        <v>414.63</v>
      </c>
      <c r="M36" s="81" t="n">
        <v>170.11</v>
      </c>
      <c r="N36" s="81" t="n">
        <v>141.42</v>
      </c>
      <c r="O36" s="82" t="n">
        <v>54.33</v>
      </c>
      <c r="P36" s="82" t="n">
        <v>13.92</v>
      </c>
      <c r="Q36" s="82" t="n">
        <v>29.66</v>
      </c>
      <c r="R36" s="82" t="n">
        <v>28.3</v>
      </c>
      <c r="S36" s="82" t="n">
        <v>53.84</v>
      </c>
      <c r="T36" s="82" t="n">
        <v>74.95</v>
      </c>
      <c r="U36" s="81" t="n">
        <v>190.22</v>
      </c>
      <c r="V36" s="83" t="n">
        <v>636.63</v>
      </c>
      <c r="W36" s="83" t="n">
        <v>646.34</v>
      </c>
      <c r="X36" s="83" t="n">
        <v>541.79</v>
      </c>
      <c r="Y36" s="79" t="n">
        <v>708.72</v>
      </c>
      <c r="Z36" s="80" t="n">
        <v>1178.57</v>
      </c>
      <c r="AA36" s="80" t="n">
        <v>1478.77</v>
      </c>
    </row>
    <row r="37" ht="19.5" customHeight="1" s="111">
      <c r="A37" s="65" t="inlineStr">
        <is>
          <t>LNGSW-CONSW 345KV</t>
        </is>
      </c>
      <c r="B37" s="66" t="inlineStr">
        <is>
          <t>🟡 Watch</t>
        </is>
      </c>
      <c r="C37" s="70" t="n">
        <v>30989.79</v>
      </c>
      <c r="D37" s="80" t="n">
        <v>4086.86</v>
      </c>
      <c r="E37" s="80" t="n">
        <v>3745.26</v>
      </c>
      <c r="F37" s="80" t="n">
        <v>3211.53</v>
      </c>
      <c r="G37" s="80" t="n">
        <v>2996.59</v>
      </c>
      <c r="H37" s="80" t="n">
        <v>2905.08</v>
      </c>
      <c r="I37" s="79" t="n">
        <v>2210.82</v>
      </c>
      <c r="J37" s="83" t="n">
        <v>1592.44</v>
      </c>
      <c r="K37" s="83" t="n">
        <v>672.79</v>
      </c>
      <c r="L37" s="81" t="n">
        <v>254.66</v>
      </c>
      <c r="M37" s="81" t="n">
        <v>266.87</v>
      </c>
      <c r="N37" s="82" t="n">
        <v>174.72</v>
      </c>
      <c r="O37" s="82" t="n">
        <v>177.29</v>
      </c>
      <c r="P37" s="82" t="n">
        <v>145.49</v>
      </c>
      <c r="Q37" s="82" t="n">
        <v>141.08</v>
      </c>
      <c r="R37" s="82" t="n">
        <v>122.16</v>
      </c>
      <c r="S37" s="82" t="n">
        <v>83.53</v>
      </c>
      <c r="T37" s="82" t="n">
        <v>83.41</v>
      </c>
      <c r="U37" s="82" t="n">
        <v>113.11</v>
      </c>
      <c r="V37" s="81" t="n">
        <v>546.52</v>
      </c>
      <c r="W37" s="81" t="n">
        <v>356.42</v>
      </c>
      <c r="X37" s="81" t="n">
        <v>556.64</v>
      </c>
      <c r="Y37" s="83" t="n">
        <v>1059.67</v>
      </c>
      <c r="Z37" s="79" t="n">
        <v>2265.1</v>
      </c>
      <c r="AA37" s="80" t="n">
        <v>3221.75</v>
      </c>
    </row>
    <row r="38" ht="19.5" customHeight="1" s="111">
      <c r="A38" s="65" t="inlineStr">
        <is>
          <t>SONR-ATSO 69KV</t>
        </is>
      </c>
      <c r="B38" s="66" t="inlineStr">
        <is>
          <t>🟡 Watch</t>
        </is>
      </c>
      <c r="C38" s="70" t="n">
        <v>93639.82000000001</v>
      </c>
      <c r="D38" s="80" t="n">
        <v>8003.2</v>
      </c>
      <c r="E38" s="80" t="n">
        <v>7850.59</v>
      </c>
      <c r="F38" s="80" t="n">
        <v>7882.16</v>
      </c>
      <c r="G38" s="80" t="n">
        <v>7830.67</v>
      </c>
      <c r="H38" s="80" t="n">
        <v>7086.51</v>
      </c>
      <c r="I38" s="80" t="n">
        <v>7565.07</v>
      </c>
      <c r="J38" s="80" t="n">
        <v>5873.66</v>
      </c>
      <c r="K38" s="79" t="n">
        <v>5270.89</v>
      </c>
      <c r="L38" s="79" t="n">
        <v>3777.6</v>
      </c>
      <c r="M38" s="79" t="n">
        <v>3998.96</v>
      </c>
      <c r="N38" s="83" t="n">
        <v>1519.44</v>
      </c>
      <c r="O38" s="81" t="n">
        <v>620.13</v>
      </c>
      <c r="P38" s="82" t="n">
        <v>308.09</v>
      </c>
      <c r="Q38" s="82" t="n">
        <v>216.82</v>
      </c>
      <c r="R38" s="82" t="n">
        <v>235.11</v>
      </c>
      <c r="S38" s="82" t="n">
        <v>297.52</v>
      </c>
      <c r="T38" s="82" t="n">
        <v>162.86</v>
      </c>
      <c r="U38" s="82" t="n">
        <v>289.44</v>
      </c>
      <c r="V38" s="81" t="n">
        <v>744.9299999999999</v>
      </c>
      <c r="W38" s="83" t="n">
        <v>1399.59</v>
      </c>
      <c r="X38" s="83" t="n">
        <v>2948.97</v>
      </c>
      <c r="Y38" s="79" t="n">
        <v>4632.99</v>
      </c>
      <c r="Z38" s="80" t="n">
        <v>7845.21</v>
      </c>
      <c r="AA38" s="80" t="n">
        <v>7279.41</v>
      </c>
    </row>
    <row r="39" ht="19.5" customHeight="1" s="111">
      <c r="A39" s="65" t="inlineStr">
        <is>
          <t>LAKENASW-SAMATHIS 69KV</t>
        </is>
      </c>
      <c r="B39" s="66" t="inlineStr">
        <is>
          <t>🟡 Watch</t>
        </is>
      </c>
      <c r="C39" s="70" t="n">
        <v>79252.55</v>
      </c>
      <c r="D39" s="80" t="n">
        <v>11497.71</v>
      </c>
      <c r="E39" s="80" t="n">
        <v>8541.15</v>
      </c>
      <c r="F39" s="79" t="n">
        <v>6992.86</v>
      </c>
      <c r="G39" s="80" t="n">
        <v>9570.23</v>
      </c>
      <c r="H39" s="79" t="n">
        <v>7538.91</v>
      </c>
      <c r="I39" s="79" t="n">
        <v>6370.11</v>
      </c>
      <c r="J39" s="83" t="n">
        <v>2965.11</v>
      </c>
      <c r="K39" s="82" t="n"/>
      <c r="L39" s="82" t="n"/>
      <c r="M39" s="82" t="n">
        <v>16.54</v>
      </c>
      <c r="N39" s="82" t="n">
        <v>107.66</v>
      </c>
      <c r="O39" s="83" t="n">
        <v>2073.32</v>
      </c>
      <c r="P39" s="81" t="n">
        <v>1309.31</v>
      </c>
      <c r="Q39" s="82" t="n">
        <v>36.12</v>
      </c>
      <c r="R39" s="82" t="n">
        <v>47.38</v>
      </c>
      <c r="S39" s="82" t="n">
        <v>12.75</v>
      </c>
      <c r="T39" s="82" t="n">
        <v>27.2</v>
      </c>
      <c r="U39" s="82" t="n"/>
      <c r="V39" s="82" t="n"/>
      <c r="W39" s="82" t="n">
        <v>445.87</v>
      </c>
      <c r="X39" s="83" t="n">
        <v>2970.27</v>
      </c>
      <c r="Y39" s="79" t="n">
        <v>5165.65</v>
      </c>
      <c r="Z39" s="79" t="n">
        <v>4968.28</v>
      </c>
      <c r="AA39" s="80" t="n">
        <v>8596.120000000001</v>
      </c>
    </row>
    <row r="40" ht="19.5" customHeight="1" s="111">
      <c r="A40" s="65" t="inlineStr">
        <is>
          <t>BRUNI 138KV</t>
        </is>
      </c>
      <c r="B40" s="66" t="inlineStr">
        <is>
          <t>🟡 Watch</t>
        </is>
      </c>
      <c r="C40" s="70" t="n">
        <v>263224.34</v>
      </c>
      <c r="D40" s="80" t="n">
        <v>15349.56</v>
      </c>
      <c r="E40" s="79" t="n">
        <v>13677.75</v>
      </c>
      <c r="F40" s="79" t="n">
        <v>10694.08</v>
      </c>
      <c r="G40" s="79" t="n">
        <v>13676.63</v>
      </c>
      <c r="H40" s="80" t="n">
        <v>17442.36</v>
      </c>
      <c r="I40" s="80" t="n">
        <v>15548.45</v>
      </c>
      <c r="J40" s="79" t="n">
        <v>13837.84</v>
      </c>
      <c r="K40" s="79" t="n">
        <v>11473.16</v>
      </c>
      <c r="L40" s="83" t="n">
        <v>7595.51</v>
      </c>
      <c r="M40" s="83" t="n">
        <v>5881.32</v>
      </c>
      <c r="N40" s="81" t="n">
        <v>2295.36</v>
      </c>
      <c r="O40" s="83" t="n">
        <v>3318.81</v>
      </c>
      <c r="P40" s="83" t="n">
        <v>4311.3</v>
      </c>
      <c r="Q40" s="83" t="n">
        <v>5461.83</v>
      </c>
      <c r="R40" s="83" t="n">
        <v>5240.61</v>
      </c>
      <c r="S40" s="83" t="n">
        <v>6049.19</v>
      </c>
      <c r="T40" s="83" t="n">
        <v>4767.39</v>
      </c>
      <c r="U40" s="79" t="n">
        <v>8401.549999999999</v>
      </c>
      <c r="V40" s="79" t="n">
        <v>10321.95</v>
      </c>
      <c r="W40" s="79" t="n">
        <v>13538.32</v>
      </c>
      <c r="X40" s="80" t="n">
        <v>17831.16</v>
      </c>
      <c r="Y40" s="80" t="n">
        <v>19291.42</v>
      </c>
      <c r="Z40" s="80" t="n">
        <v>20074.73</v>
      </c>
      <c r="AA40" s="80" t="n">
        <v>17144.06</v>
      </c>
    </row>
    <row r="41" ht="19.5" customHeight="1" s="111">
      <c r="A41" s="65" t="inlineStr">
        <is>
          <t>CRTRVLLE-HILGR 138KV</t>
        </is>
      </c>
      <c r="B41" s="66" t="inlineStr">
        <is>
          <t>🟡 Watch</t>
        </is>
      </c>
      <c r="C41" s="70" t="n">
        <v>66977.23</v>
      </c>
      <c r="D41" s="80" t="n">
        <v>7020.09</v>
      </c>
      <c r="E41" s="80" t="n">
        <v>6266.66</v>
      </c>
      <c r="F41" s="80" t="n">
        <v>4919.49</v>
      </c>
      <c r="G41" s="79" t="n">
        <v>4259.09</v>
      </c>
      <c r="H41" s="79" t="n">
        <v>3567.73</v>
      </c>
      <c r="I41" s="79" t="n">
        <v>3435.13</v>
      </c>
      <c r="J41" s="79" t="n">
        <v>2862.97</v>
      </c>
      <c r="K41" s="83" t="n">
        <v>2765.02</v>
      </c>
      <c r="L41" s="83" t="n">
        <v>1893.86</v>
      </c>
      <c r="M41" s="82" t="n">
        <v>249.79</v>
      </c>
      <c r="N41" s="81" t="n">
        <v>689.63</v>
      </c>
      <c r="O41" s="81" t="n">
        <v>517.1900000000001</v>
      </c>
      <c r="P41" s="81" t="n">
        <v>412.86</v>
      </c>
      <c r="Q41" s="82" t="n">
        <v>85.78</v>
      </c>
      <c r="R41" s="81" t="n">
        <v>751.13</v>
      </c>
      <c r="S41" s="81" t="n">
        <v>949.08</v>
      </c>
      <c r="T41" s="83" t="n">
        <v>1299.32</v>
      </c>
      <c r="U41" s="83" t="n">
        <v>1445.65</v>
      </c>
      <c r="V41" s="83" t="n">
        <v>2069.65</v>
      </c>
      <c r="W41" s="83" t="n">
        <v>2776.36</v>
      </c>
      <c r="X41" s="79" t="n">
        <v>3403.54</v>
      </c>
      <c r="Y41" s="80" t="n">
        <v>5138.64</v>
      </c>
      <c r="Z41" s="80" t="n">
        <v>5349.11</v>
      </c>
      <c r="AA41" s="79" t="n">
        <v>4849.46</v>
      </c>
    </row>
    <row r="42" ht="19.5" customHeight="1" s="111">
      <c r="A42" s="65" t="inlineStr">
        <is>
          <t>ARGYL-LWSVH 138KV</t>
        </is>
      </c>
      <c r="B42" s="66" t="inlineStr">
        <is>
          <t>🟡 Watch</t>
        </is>
      </c>
      <c r="C42" s="70" t="n">
        <v>359570.46</v>
      </c>
      <c r="D42" s="80" t="n">
        <v>20965.26</v>
      </c>
      <c r="E42" s="80" t="n">
        <v>20380.65</v>
      </c>
      <c r="F42" s="80" t="n">
        <v>18615.21</v>
      </c>
      <c r="G42" s="80" t="n">
        <v>16982.49</v>
      </c>
      <c r="H42" s="80" t="n">
        <v>15813.17</v>
      </c>
      <c r="I42" s="80" t="n">
        <v>15767.84</v>
      </c>
      <c r="J42" s="80" t="n">
        <v>16972.88</v>
      </c>
      <c r="K42" s="80" t="n">
        <v>15773.53</v>
      </c>
      <c r="L42" s="79" t="n">
        <v>12737.93</v>
      </c>
      <c r="M42" s="79" t="n">
        <v>12954.04</v>
      </c>
      <c r="N42" s="79" t="n">
        <v>12379.96</v>
      </c>
      <c r="O42" s="79" t="n">
        <v>12122.29</v>
      </c>
      <c r="P42" s="79" t="n">
        <v>13231.87</v>
      </c>
      <c r="Q42" s="79" t="n">
        <v>13414.94</v>
      </c>
      <c r="R42" s="79" t="n">
        <v>13763.08</v>
      </c>
      <c r="S42" s="79" t="n">
        <v>14572.82</v>
      </c>
      <c r="T42" s="79" t="n">
        <v>14653.54</v>
      </c>
      <c r="U42" s="79" t="n">
        <v>9268.01</v>
      </c>
      <c r="V42" s="79" t="n">
        <v>9098.790000000001</v>
      </c>
      <c r="W42" s="79" t="n">
        <v>11572.38</v>
      </c>
      <c r="X42" s="80" t="n">
        <v>15032.34</v>
      </c>
      <c r="Y42" s="80" t="n">
        <v>16675.01</v>
      </c>
      <c r="Z42" s="80" t="n">
        <v>17520.77</v>
      </c>
      <c r="AA42" s="80" t="n">
        <v>19301.66</v>
      </c>
    </row>
    <row r="43" ht="19.5" customHeight="1" s="111">
      <c r="A43" s="65" t="inlineStr">
        <is>
          <t>NORTMC-CROSSOVE 138KV</t>
        </is>
      </c>
      <c r="B43" s="66" t="inlineStr">
        <is>
          <t>🟡 Watch</t>
        </is>
      </c>
      <c r="C43" s="70" t="n">
        <v>8837.719999999999</v>
      </c>
      <c r="D43" s="82" t="n"/>
      <c r="E43" s="82" t="n"/>
      <c r="F43" s="82" t="n"/>
      <c r="G43" s="82" t="n"/>
      <c r="H43" s="82" t="n"/>
      <c r="I43" s="82" t="n"/>
      <c r="J43" s="82" t="n"/>
      <c r="K43" s="82" t="n"/>
      <c r="L43" s="82" t="n"/>
      <c r="M43" s="82" t="n">
        <v>39.81</v>
      </c>
      <c r="N43" s="82" t="n">
        <v>10.61</v>
      </c>
      <c r="O43" s="81" t="n">
        <v>193.52</v>
      </c>
      <c r="P43" s="83" t="n">
        <v>476.05</v>
      </c>
      <c r="Q43" s="79" t="n">
        <v>815.3</v>
      </c>
      <c r="R43" s="80" t="n">
        <v>1194.7</v>
      </c>
      <c r="S43" s="80" t="n">
        <v>1489.93</v>
      </c>
      <c r="T43" s="80" t="n">
        <v>1546.13</v>
      </c>
      <c r="U43" s="80" t="n">
        <v>1376.95</v>
      </c>
      <c r="V43" s="80" t="n">
        <v>1583.76</v>
      </c>
      <c r="W43" s="81" t="n">
        <v>110.96</v>
      </c>
      <c r="X43" s="82" t="n"/>
      <c r="Y43" s="82" t="n"/>
      <c r="Z43" s="82" t="n"/>
      <c r="AA43" s="82" t="n"/>
    </row>
    <row r="44" ht="19.5" customHeight="1" s="111">
      <c r="A44" s="65" t="inlineStr">
        <is>
          <t>LA_PALMA-HAINE_DR 138KV</t>
        </is>
      </c>
      <c r="B44" s="66" t="inlineStr">
        <is>
          <t>🟡 Watch</t>
        </is>
      </c>
      <c r="C44" s="70" t="n">
        <v>157434.95</v>
      </c>
      <c r="D44" s="81" t="n">
        <v>2007.36</v>
      </c>
      <c r="E44" s="81" t="n">
        <v>1498.5</v>
      </c>
      <c r="F44" s="82" t="n">
        <v>955.3</v>
      </c>
      <c r="G44" s="81" t="n">
        <v>1179.14</v>
      </c>
      <c r="H44" s="82" t="n">
        <v>649.95</v>
      </c>
      <c r="I44" s="82" t="n">
        <v>662.1799999999999</v>
      </c>
      <c r="J44" s="81" t="n">
        <v>1138.03</v>
      </c>
      <c r="K44" s="81" t="n">
        <v>1170.9</v>
      </c>
      <c r="L44" s="81" t="n">
        <v>2606.9</v>
      </c>
      <c r="M44" s="83" t="n">
        <v>4689.33</v>
      </c>
      <c r="N44" s="83" t="n">
        <v>5893.81</v>
      </c>
      <c r="O44" s="79" t="n">
        <v>8060.67</v>
      </c>
      <c r="P44" s="79" t="n">
        <v>10321.91</v>
      </c>
      <c r="Q44" s="79" t="n">
        <v>12148.7</v>
      </c>
      <c r="R44" s="80" t="n">
        <v>14938.22</v>
      </c>
      <c r="S44" s="80" t="n">
        <v>18273.92</v>
      </c>
      <c r="T44" s="80" t="n">
        <v>19748.9</v>
      </c>
      <c r="U44" s="80" t="n">
        <v>17889.71</v>
      </c>
      <c r="V44" s="79" t="n">
        <v>11539.64</v>
      </c>
      <c r="W44" s="83" t="n">
        <v>7304.47</v>
      </c>
      <c r="X44" s="83" t="n">
        <v>5321.6</v>
      </c>
      <c r="Y44" s="83" t="n">
        <v>4421.88</v>
      </c>
      <c r="Z44" s="81" t="n">
        <v>2913.09</v>
      </c>
      <c r="AA44" s="81" t="n">
        <v>2100.84</v>
      </c>
    </row>
    <row r="45" ht="19.5" customHeight="1" s="111">
      <c r="A45" s="65" t="inlineStr">
        <is>
          <t>GN-PZ 138KV</t>
        </is>
      </c>
      <c r="B45" s="66" t="inlineStr">
        <is>
          <t>🟡 Watch</t>
        </is>
      </c>
      <c r="C45" s="70" t="n">
        <v>25619.24</v>
      </c>
      <c r="D45" s="82" t="n">
        <v>66.68000000000001</v>
      </c>
      <c r="E45" s="82" t="n">
        <v>32.62</v>
      </c>
      <c r="F45" s="82" t="n">
        <v>2.43</v>
      </c>
      <c r="G45" s="82" t="n">
        <v>0.55</v>
      </c>
      <c r="H45" s="82" t="n"/>
      <c r="I45" s="82" t="n"/>
      <c r="J45" s="82" t="n">
        <v>1.8</v>
      </c>
      <c r="K45" s="82" t="n">
        <v>0.86</v>
      </c>
      <c r="L45" s="82" t="n">
        <v>76.94</v>
      </c>
      <c r="M45" s="81" t="n">
        <v>560.75</v>
      </c>
      <c r="N45" s="83" t="n">
        <v>1094.6</v>
      </c>
      <c r="O45" s="83" t="n">
        <v>1812.68</v>
      </c>
      <c r="P45" s="79" t="n">
        <v>3093.01</v>
      </c>
      <c r="Q45" s="79" t="n">
        <v>3365.08</v>
      </c>
      <c r="R45" s="79" t="n">
        <v>3201.45</v>
      </c>
      <c r="S45" s="80" t="n">
        <v>5203.15</v>
      </c>
      <c r="T45" s="79" t="n">
        <v>3306.83</v>
      </c>
      <c r="U45" s="79" t="n">
        <v>2493.54</v>
      </c>
      <c r="V45" s="81" t="n">
        <v>715.96</v>
      </c>
      <c r="W45" s="82" t="n">
        <v>146.14</v>
      </c>
      <c r="X45" s="82" t="n">
        <v>128.89</v>
      </c>
      <c r="Y45" s="82" t="n">
        <v>91.59999999999999</v>
      </c>
      <c r="Z45" s="82" t="n">
        <v>86.7</v>
      </c>
      <c r="AA45" s="82" t="n">
        <v>136.98</v>
      </c>
    </row>
    <row r="46" ht="19.5" customHeight="1" s="111">
      <c r="A46" s="65" t="inlineStr">
        <is>
          <t>PILONCIL-NLARSW 138KV</t>
        </is>
      </c>
      <c r="B46" s="66" t="inlineStr">
        <is>
          <t>🟡 Watch</t>
        </is>
      </c>
      <c r="C46" s="70" t="n">
        <v>4162.67</v>
      </c>
      <c r="D46" s="82" t="n"/>
      <c r="E46" s="82" t="n"/>
      <c r="F46" s="82" t="n"/>
      <c r="G46" s="82" t="n"/>
      <c r="H46" s="82" t="n"/>
      <c r="I46" s="82" t="n"/>
      <c r="J46" s="82" t="n"/>
      <c r="K46" s="82" t="n"/>
      <c r="L46" s="82" t="n">
        <v>0.6899999999999999</v>
      </c>
      <c r="M46" s="81" t="n">
        <v>60.43</v>
      </c>
      <c r="N46" s="81" t="n">
        <v>113.4</v>
      </c>
      <c r="O46" s="83" t="n">
        <v>168.03</v>
      </c>
      <c r="P46" s="83" t="n">
        <v>407.59</v>
      </c>
      <c r="Q46" s="79" t="n">
        <v>560.35</v>
      </c>
      <c r="R46" s="80" t="n">
        <v>844.98</v>
      </c>
      <c r="S46" s="80" t="n">
        <v>1077.23</v>
      </c>
      <c r="T46" s="79" t="n">
        <v>725.64</v>
      </c>
      <c r="U46" s="81" t="n">
        <v>139.68</v>
      </c>
      <c r="V46" s="81" t="n">
        <v>64.65000000000001</v>
      </c>
      <c r="W46" s="82" t="n"/>
      <c r="X46" s="82" t="n"/>
      <c r="Y46" s="82" t="n"/>
      <c r="Z46" s="82" t="n"/>
      <c r="AA46" s="82" t="n"/>
    </row>
    <row r="47" ht="19.5" customHeight="1" s="111">
      <c r="A47" s="65" t="inlineStr">
        <is>
          <t>MV_BURNS-MV_HBRG4 138KV</t>
        </is>
      </c>
      <c r="B47" s="66" t="inlineStr">
        <is>
          <t>🟡 Watch</t>
        </is>
      </c>
      <c r="C47" s="70" t="n">
        <v>21330.38</v>
      </c>
      <c r="D47" s="82" t="n">
        <v>113.87</v>
      </c>
      <c r="E47" s="82" t="n">
        <v>3.77</v>
      </c>
      <c r="F47" s="82" t="n">
        <v>146.43</v>
      </c>
      <c r="G47" s="82" t="n">
        <v>37.55</v>
      </c>
      <c r="H47" s="82" t="n"/>
      <c r="I47" s="82" t="n"/>
      <c r="J47" s="82" t="n"/>
      <c r="K47" s="82" t="n"/>
      <c r="L47" s="82" t="n"/>
      <c r="M47" s="82" t="n">
        <v>16.29</v>
      </c>
      <c r="N47" s="81" t="n">
        <v>393.46</v>
      </c>
      <c r="O47" s="83" t="n">
        <v>739.86</v>
      </c>
      <c r="P47" s="83" t="n">
        <v>957.48</v>
      </c>
      <c r="Q47" s="83" t="n">
        <v>1274.3</v>
      </c>
      <c r="R47" s="79" t="n">
        <v>1942.22</v>
      </c>
      <c r="S47" s="79" t="n">
        <v>2435.39</v>
      </c>
      <c r="T47" s="80" t="n">
        <v>3596.77</v>
      </c>
      <c r="U47" s="80" t="n">
        <v>3322.57</v>
      </c>
      <c r="V47" s="80" t="n">
        <v>3266.36</v>
      </c>
      <c r="W47" s="83" t="n">
        <v>1218.55</v>
      </c>
      <c r="X47" s="83" t="n">
        <v>631.1</v>
      </c>
      <c r="Y47" s="81" t="n">
        <v>475.07</v>
      </c>
      <c r="Z47" s="81" t="n">
        <v>449.24</v>
      </c>
      <c r="AA47" s="81" t="n">
        <v>310.1</v>
      </c>
    </row>
    <row r="48" ht="19.5" customHeight="1" s="111">
      <c r="A48" s="65" t="inlineStr">
        <is>
          <t>CATARINA-ASHERTON 138KV</t>
        </is>
      </c>
      <c r="B48" s="66" t="inlineStr">
        <is>
          <t>🟡 Watch</t>
        </is>
      </c>
      <c r="C48" s="70" t="n">
        <v>3299.99</v>
      </c>
      <c r="D48" s="82" t="n"/>
      <c r="E48" s="82" t="n"/>
      <c r="F48" s="82" t="n"/>
      <c r="G48" s="82" t="n">
        <v>41.98</v>
      </c>
      <c r="H48" s="82" t="n">
        <v>4.61</v>
      </c>
      <c r="I48" s="81" t="n">
        <v>96.84</v>
      </c>
      <c r="J48" s="81" t="n">
        <v>153.55</v>
      </c>
      <c r="K48" s="81" t="n">
        <v>63.81</v>
      </c>
      <c r="L48" s="82" t="n">
        <v>21.04</v>
      </c>
      <c r="M48" s="82" t="n">
        <v>7.66</v>
      </c>
      <c r="N48" s="82" t="n">
        <v>2.94</v>
      </c>
      <c r="O48" s="82" t="n"/>
      <c r="P48" s="82" t="n">
        <v>0.91</v>
      </c>
      <c r="Q48" s="82" t="n"/>
      <c r="R48" s="82" t="n"/>
      <c r="S48" s="82" t="n">
        <v>0.41</v>
      </c>
      <c r="T48" s="82" t="n">
        <v>8.779999999999999</v>
      </c>
      <c r="U48" s="82" t="n">
        <v>24.91</v>
      </c>
      <c r="V48" s="81" t="n">
        <v>98.97</v>
      </c>
      <c r="W48" s="79" t="n">
        <v>493.6</v>
      </c>
      <c r="X48" s="79" t="n">
        <v>694.58</v>
      </c>
      <c r="Y48" s="80" t="n">
        <v>1115.83</v>
      </c>
      <c r="Z48" s="83" t="n">
        <v>347.8</v>
      </c>
      <c r="AA48" s="81" t="n">
        <v>121.77</v>
      </c>
    </row>
    <row r="49" ht="19.5" customHeight="1" s="111">
      <c r="A49" s="65" t="inlineStr">
        <is>
          <t>BR-HOC 138KV</t>
        </is>
      </c>
      <c r="B49" s="66" t="inlineStr">
        <is>
          <t>🟡 Watch</t>
        </is>
      </c>
      <c r="C49" s="70" t="n">
        <v>26713.59</v>
      </c>
      <c r="D49" s="81" t="n">
        <v>332.51</v>
      </c>
      <c r="E49" s="81" t="n">
        <v>287.6</v>
      </c>
      <c r="F49" s="81" t="n">
        <v>388.6</v>
      </c>
      <c r="G49" s="81" t="n">
        <v>344.67</v>
      </c>
      <c r="H49" s="81" t="n">
        <v>272.92</v>
      </c>
      <c r="I49" s="82" t="n">
        <v>147.08</v>
      </c>
      <c r="J49" s="81" t="n">
        <v>280.18</v>
      </c>
      <c r="K49" s="81" t="n">
        <v>389.13</v>
      </c>
      <c r="L49" s="81" t="n">
        <v>517.26</v>
      </c>
      <c r="M49" s="83" t="n">
        <v>811.1799999999999</v>
      </c>
      <c r="N49" s="83" t="n">
        <v>1288.83</v>
      </c>
      <c r="O49" s="79" t="n">
        <v>1718.61</v>
      </c>
      <c r="P49" s="79" t="n">
        <v>2129.86</v>
      </c>
      <c r="Q49" s="80" t="n">
        <v>2934.82</v>
      </c>
      <c r="R49" s="80" t="n">
        <v>3452.33</v>
      </c>
      <c r="S49" s="80" t="n">
        <v>3887.98</v>
      </c>
      <c r="T49" s="80" t="n">
        <v>3134.25</v>
      </c>
      <c r="U49" s="83" t="n">
        <v>1445.88</v>
      </c>
      <c r="V49" s="83" t="n">
        <v>674.33</v>
      </c>
      <c r="W49" s="81" t="n">
        <v>561.59</v>
      </c>
      <c r="X49" s="81" t="n">
        <v>412.34</v>
      </c>
      <c r="Y49" s="81" t="n">
        <v>488.24</v>
      </c>
      <c r="Z49" s="81" t="n">
        <v>467.28</v>
      </c>
      <c r="AA49" s="81" t="n">
        <v>346.12</v>
      </c>
    </row>
    <row r="50" ht="19.5" customHeight="1" s="111">
      <c r="A50" s="65" t="inlineStr">
        <is>
          <t>BOW 69KV</t>
        </is>
      </c>
      <c r="B50" s="66" t="inlineStr">
        <is>
          <t>🟡 Watch</t>
        </is>
      </c>
      <c r="C50" s="70" t="n">
        <v>36478.42</v>
      </c>
      <c r="D50" s="82" t="n">
        <v>140.02</v>
      </c>
      <c r="E50" s="81" t="n">
        <v>254.81</v>
      </c>
      <c r="F50" s="81" t="n">
        <v>437.9</v>
      </c>
      <c r="G50" s="83" t="n">
        <v>820.02</v>
      </c>
      <c r="H50" s="82" t="n">
        <v>178.09</v>
      </c>
      <c r="I50" s="81" t="n">
        <v>576.98</v>
      </c>
      <c r="J50" s="80" t="n">
        <v>3076.23</v>
      </c>
      <c r="K50" s="80" t="n">
        <v>3287.75</v>
      </c>
      <c r="L50" s="80" t="n">
        <v>4134.9</v>
      </c>
      <c r="M50" s="79" t="n">
        <v>2544.02</v>
      </c>
      <c r="N50" s="79" t="n">
        <v>2006.54</v>
      </c>
      <c r="O50" s="83" t="n">
        <v>1191.38</v>
      </c>
      <c r="P50" s="83" t="n">
        <v>1264.17</v>
      </c>
      <c r="Q50" s="83" t="n">
        <v>1202.82</v>
      </c>
      <c r="R50" s="83" t="n">
        <v>1195.11</v>
      </c>
      <c r="S50" s="83" t="n">
        <v>728.08</v>
      </c>
      <c r="T50" s="83" t="n">
        <v>652.74</v>
      </c>
      <c r="U50" s="83" t="n">
        <v>1261.83</v>
      </c>
      <c r="V50" s="79" t="n">
        <v>1913.47</v>
      </c>
      <c r="W50" s="80" t="n">
        <v>3155.84</v>
      </c>
      <c r="X50" s="79" t="n">
        <v>2162.21</v>
      </c>
      <c r="Y50" s="79" t="n">
        <v>2386.13</v>
      </c>
      <c r="Z50" s="83" t="n">
        <v>1250.84</v>
      </c>
      <c r="AA50" s="83" t="n">
        <v>656.54</v>
      </c>
    </row>
    <row r="51" ht="19.5" customHeight="1" s="111">
      <c r="A51" s="65" t="inlineStr">
        <is>
          <t>MCCAMY</t>
        </is>
      </c>
      <c r="B51" s="66" t="inlineStr">
        <is>
          <t>🟡 Watch</t>
        </is>
      </c>
      <c r="C51" s="70" t="n">
        <v>4254.06</v>
      </c>
      <c r="D51" s="81" t="n">
        <v>39.52</v>
      </c>
      <c r="E51" s="82" t="n">
        <v>10.71</v>
      </c>
      <c r="F51" s="82" t="n"/>
      <c r="G51" s="82" t="n"/>
      <c r="H51" s="82" t="n"/>
      <c r="I51" s="82" t="n"/>
      <c r="J51" s="82" t="n"/>
      <c r="K51" s="82" t="n">
        <v>0.33</v>
      </c>
      <c r="L51" s="82" t="n">
        <v>29.37</v>
      </c>
      <c r="M51" s="79" t="n">
        <v>307.44</v>
      </c>
      <c r="N51" s="80" t="n">
        <v>451.21</v>
      </c>
      <c r="O51" s="80" t="n">
        <v>591.5599999999999</v>
      </c>
      <c r="P51" s="80" t="n">
        <v>605.54</v>
      </c>
      <c r="Q51" s="80" t="n">
        <v>494.43</v>
      </c>
      <c r="R51" s="79" t="n">
        <v>422.65</v>
      </c>
      <c r="S51" s="79" t="n">
        <v>405.86</v>
      </c>
      <c r="T51" s="79" t="n">
        <v>360.84</v>
      </c>
      <c r="U51" s="79" t="n">
        <v>325.9</v>
      </c>
      <c r="V51" s="83" t="n">
        <v>113.65</v>
      </c>
      <c r="W51" s="82" t="n">
        <v>8.09</v>
      </c>
      <c r="X51" s="81" t="n">
        <v>54.01</v>
      </c>
      <c r="Y51" s="82" t="n">
        <v>5.26</v>
      </c>
      <c r="Z51" s="82" t="n">
        <v>18.38</v>
      </c>
      <c r="AA51" s="82" t="n">
        <v>9.31</v>
      </c>
    </row>
    <row r="52" ht="19.5" customHeight="1" s="111">
      <c r="A52" s="65" t="inlineStr">
        <is>
          <t>CMNSW-CMNTP 138KV</t>
        </is>
      </c>
      <c r="B52" s="66" t="inlineStr">
        <is>
          <t>🟡 Watch</t>
        </is>
      </c>
      <c r="C52" s="70" t="n">
        <v>31078.31</v>
      </c>
      <c r="D52" s="83" t="n">
        <v>732.67</v>
      </c>
      <c r="E52" s="83" t="n">
        <v>828.35</v>
      </c>
      <c r="F52" s="83" t="n">
        <v>678.4299999999999</v>
      </c>
      <c r="G52" s="83" t="n">
        <v>559.72</v>
      </c>
      <c r="H52" s="83" t="n">
        <v>529.04</v>
      </c>
      <c r="I52" s="83" t="n">
        <v>659.52</v>
      </c>
      <c r="J52" s="83" t="n">
        <v>459.88</v>
      </c>
      <c r="K52" s="83" t="n">
        <v>750.46</v>
      </c>
      <c r="L52" s="83" t="n">
        <v>551.55</v>
      </c>
      <c r="M52" s="83" t="n">
        <v>774.35</v>
      </c>
      <c r="N52" s="83" t="n">
        <v>980.5599999999999</v>
      </c>
      <c r="O52" s="79" t="n">
        <v>1226.23</v>
      </c>
      <c r="P52" s="79" t="n">
        <v>1632.21</v>
      </c>
      <c r="Q52" s="79" t="n">
        <v>1603.99</v>
      </c>
      <c r="R52" s="79" t="n">
        <v>2091.09</v>
      </c>
      <c r="S52" s="80" t="n">
        <v>2240.06</v>
      </c>
      <c r="T52" s="80" t="n">
        <v>3034.23</v>
      </c>
      <c r="U52" s="80" t="n">
        <v>2647.55</v>
      </c>
      <c r="V52" s="80" t="n">
        <v>2695.64</v>
      </c>
      <c r="W52" s="79" t="n">
        <v>2096.69</v>
      </c>
      <c r="X52" s="79" t="n">
        <v>1339.35</v>
      </c>
      <c r="Y52" s="83" t="n">
        <v>1140.51</v>
      </c>
      <c r="Z52" s="83" t="n">
        <v>1128.46</v>
      </c>
      <c r="AA52" s="83" t="n">
        <v>697.77</v>
      </c>
    </row>
    <row r="53" ht="19.5" customHeight="1" s="111">
      <c r="A53" s="65" t="inlineStr">
        <is>
          <t>UVALDE-READING 138KV</t>
        </is>
      </c>
      <c r="B53" s="66" t="inlineStr">
        <is>
          <t>🟡 Watch</t>
        </is>
      </c>
      <c r="C53" s="70" t="n">
        <v>3280.03</v>
      </c>
      <c r="D53" s="82" t="n"/>
      <c r="E53" s="82" t="n"/>
      <c r="F53" s="82" t="n"/>
      <c r="G53" s="82" t="n"/>
      <c r="H53" s="82" t="n"/>
      <c r="I53" s="82" t="n"/>
      <c r="J53" s="82" t="n"/>
      <c r="K53" s="82" t="n"/>
      <c r="L53" s="82" t="n">
        <v>16.1</v>
      </c>
      <c r="M53" s="81" t="n">
        <v>55.67</v>
      </c>
      <c r="N53" s="82" t="n">
        <v>44.05</v>
      </c>
      <c r="O53" s="81" t="n">
        <v>51.89</v>
      </c>
      <c r="P53" s="81" t="n">
        <v>75.01000000000001</v>
      </c>
      <c r="Q53" s="81" t="n">
        <v>152.11</v>
      </c>
      <c r="R53" s="81" t="n">
        <v>145.23</v>
      </c>
      <c r="S53" s="83" t="n">
        <v>232.22</v>
      </c>
      <c r="T53" s="83" t="n">
        <v>385.95</v>
      </c>
      <c r="U53" s="80" t="n">
        <v>891.77</v>
      </c>
      <c r="V53" s="80" t="n">
        <v>1018.7</v>
      </c>
      <c r="W53" s="83" t="n">
        <v>211.33</v>
      </c>
      <c r="X53" s="82" t="n"/>
      <c r="Y53" s="82" t="n"/>
      <c r="Z53" s="82" t="n"/>
      <c r="AA53" s="82" t="n"/>
    </row>
    <row r="54" ht="19.5" customHeight="1" s="111">
      <c r="A54" s="65" t="inlineStr">
        <is>
          <t>WOLFCAMP-SANTARIT 138KV</t>
        </is>
      </c>
      <c r="B54" s="66" t="inlineStr">
        <is>
          <t>🟡 Watch</t>
        </is>
      </c>
      <c r="C54" s="70" t="n">
        <v>3322.27</v>
      </c>
      <c r="D54" s="82" t="n"/>
      <c r="E54" s="82" t="n"/>
      <c r="F54" s="82" t="n"/>
      <c r="G54" s="82" t="n"/>
      <c r="H54" s="82" t="n"/>
      <c r="I54" s="82" t="n"/>
      <c r="J54" s="82" t="n"/>
      <c r="K54" s="82" t="n"/>
      <c r="L54" s="82" t="n"/>
      <c r="M54" s="82" t="n">
        <v>13.43</v>
      </c>
      <c r="N54" s="82" t="n"/>
      <c r="O54" s="82" t="n"/>
      <c r="P54" s="82" t="n"/>
      <c r="Q54" s="82" t="n"/>
      <c r="R54" s="83" t="n">
        <v>307.36</v>
      </c>
      <c r="S54" s="80" t="n">
        <v>785.01</v>
      </c>
      <c r="T54" s="80" t="n">
        <v>824.12</v>
      </c>
      <c r="U54" s="83" t="n">
        <v>292.82</v>
      </c>
      <c r="V54" s="79" t="n">
        <v>426.13</v>
      </c>
      <c r="W54" s="83" t="n">
        <v>274.18</v>
      </c>
      <c r="X54" s="83" t="n">
        <v>194.6</v>
      </c>
      <c r="Y54" s="83" t="n">
        <v>191.85</v>
      </c>
      <c r="Z54" s="82" t="n">
        <v>12.77</v>
      </c>
      <c r="AA54" s="82" t="n"/>
    </row>
    <row r="55" ht="19.5" customHeight="1" s="111">
      <c r="A55" s="65" t="inlineStr">
        <is>
          <t>LHSES-PRCSW 138KV</t>
        </is>
      </c>
      <c r="B55" s="66" t="inlineStr">
        <is>
          <t>🟡 Watch</t>
        </is>
      </c>
      <c r="C55" s="70" t="n">
        <v>15846.42</v>
      </c>
      <c r="D55" s="82" t="n">
        <v>15.99</v>
      </c>
      <c r="E55" s="82" t="n"/>
      <c r="F55" s="82" t="n"/>
      <c r="G55" s="82" t="n"/>
      <c r="H55" s="82" t="n"/>
      <c r="I55" s="82" t="n"/>
      <c r="J55" s="82" t="n">
        <v>69.68000000000001</v>
      </c>
      <c r="K55" s="82" t="n">
        <v>95.54000000000001</v>
      </c>
      <c r="L55" s="82" t="n"/>
      <c r="M55" s="82" t="n"/>
      <c r="N55" s="82" t="n"/>
      <c r="O55" s="82" t="n">
        <v>8.66</v>
      </c>
      <c r="P55" s="83" t="n">
        <v>497.14</v>
      </c>
      <c r="Q55" s="83" t="n">
        <v>797.25</v>
      </c>
      <c r="R55" s="79" t="n">
        <v>1456.82</v>
      </c>
      <c r="S55" s="83" t="n">
        <v>1082.69</v>
      </c>
      <c r="T55" s="79" t="n">
        <v>1979.92</v>
      </c>
      <c r="U55" s="79" t="n">
        <v>1617.6</v>
      </c>
      <c r="V55" s="80" t="n">
        <v>2933.45</v>
      </c>
      <c r="W55" s="80" t="n">
        <v>3053.98</v>
      </c>
      <c r="X55" s="79" t="n">
        <v>1349.65</v>
      </c>
      <c r="Y55" s="83" t="n">
        <v>718.27</v>
      </c>
      <c r="Z55" s="81" t="n">
        <v>155.53</v>
      </c>
      <c r="AA55" s="82" t="n">
        <v>14.25</v>
      </c>
    </row>
    <row r="56" ht="19.5" customHeight="1" s="111">
      <c r="A56" s="65" t="inlineStr">
        <is>
          <t>LAREDO-DEL_MAR 138KV</t>
        </is>
      </c>
      <c r="B56" s="66" t="inlineStr">
        <is>
          <t>🟡 Watch</t>
        </is>
      </c>
      <c r="C56" s="70" t="n">
        <v>12390.2</v>
      </c>
      <c r="D56" s="79" t="n">
        <v>1631.85</v>
      </c>
      <c r="E56" s="83" t="n">
        <v>594.25</v>
      </c>
      <c r="F56" s="81" t="n">
        <v>240.53</v>
      </c>
      <c r="G56" s="82" t="n">
        <v>10.03</v>
      </c>
      <c r="H56" s="82" t="n"/>
      <c r="I56" s="82" t="n">
        <v>48.1</v>
      </c>
      <c r="J56" s="82" t="n">
        <v>16.4</v>
      </c>
      <c r="K56" s="82" t="n"/>
      <c r="L56" s="82" t="n">
        <v>61.85</v>
      </c>
      <c r="M56" s="81" t="n">
        <v>379.63</v>
      </c>
      <c r="N56" s="81" t="n">
        <v>409.9</v>
      </c>
      <c r="O56" s="81" t="n">
        <v>240.13</v>
      </c>
      <c r="P56" s="82" t="n">
        <v>159.39</v>
      </c>
      <c r="Q56" s="82" t="n"/>
      <c r="R56" s="82" t="n"/>
      <c r="S56" s="82" t="n"/>
      <c r="T56" s="82" t="n"/>
      <c r="U56" s="82" t="n"/>
      <c r="V56" s="82" t="n"/>
      <c r="W56" s="82" t="n"/>
      <c r="X56" s="82" t="n"/>
      <c r="Y56" s="79" t="n">
        <v>2034.64</v>
      </c>
      <c r="Z56" s="80" t="n">
        <v>3808.83</v>
      </c>
      <c r="AA56" s="80" t="n">
        <v>2754.67</v>
      </c>
    </row>
    <row r="57" ht="19.5" customHeight="1" s="111">
      <c r="A57" s="65" t="inlineStr">
        <is>
          <t>COLETO CREEK-VICTORIA</t>
        </is>
      </c>
      <c r="B57" s="66" t="inlineStr">
        <is>
          <t>🟡 Watch</t>
        </is>
      </c>
      <c r="C57" s="70" t="n">
        <v>6622.44</v>
      </c>
      <c r="D57" s="79" t="n">
        <v>328.54</v>
      </c>
      <c r="E57" s="79" t="n">
        <v>399.76</v>
      </c>
      <c r="F57" s="83" t="n">
        <v>211.03</v>
      </c>
      <c r="G57" s="83" t="n">
        <v>237.85</v>
      </c>
      <c r="H57" s="81" t="n">
        <v>108.36</v>
      </c>
      <c r="I57" s="82" t="n">
        <v>10.8</v>
      </c>
      <c r="J57" s="82" t="n">
        <v>18.63</v>
      </c>
      <c r="K57" s="82" t="n">
        <v>0.33</v>
      </c>
      <c r="L57" s="82" t="n">
        <v>1.57</v>
      </c>
      <c r="M57" s="81" t="n">
        <v>59.39</v>
      </c>
      <c r="N57" s="83" t="n">
        <v>134.48</v>
      </c>
      <c r="O57" s="81" t="n">
        <v>102.48</v>
      </c>
      <c r="P57" s="83" t="n">
        <v>161.4</v>
      </c>
      <c r="Q57" s="83" t="n">
        <v>216.4</v>
      </c>
      <c r="R57" s="83" t="n">
        <v>206.62</v>
      </c>
      <c r="S57" s="79" t="n">
        <v>472.99</v>
      </c>
      <c r="T57" s="79" t="n">
        <v>429.71</v>
      </c>
      <c r="U57" s="79" t="n">
        <v>357.27</v>
      </c>
      <c r="V57" s="79" t="n">
        <v>513.7</v>
      </c>
      <c r="W57" s="80" t="n">
        <v>797.8099999999999</v>
      </c>
      <c r="X57" s="79" t="n">
        <v>533.2</v>
      </c>
      <c r="Y57" s="79" t="n">
        <v>555.47</v>
      </c>
      <c r="Z57" s="79" t="n">
        <v>499.84</v>
      </c>
      <c r="AA57" s="83" t="n">
        <v>264.81</v>
      </c>
    </row>
    <row r="58" ht="19.5" customHeight="1" s="111">
      <c r="A58" s="65" t="inlineStr">
        <is>
          <t>FMRVL-RYSSW 345KV</t>
        </is>
      </c>
      <c r="B58" s="66" t="inlineStr">
        <is>
          <t>🟡 Watch</t>
        </is>
      </c>
      <c r="C58" s="70" t="n">
        <v>4009.58</v>
      </c>
      <c r="D58" s="82" t="n"/>
      <c r="E58" s="82" t="n"/>
      <c r="F58" s="82" t="n"/>
      <c r="G58" s="82" t="n"/>
      <c r="H58" s="82" t="n"/>
      <c r="I58" s="82" t="n"/>
      <c r="J58" s="82" t="n"/>
      <c r="K58" s="82" t="n"/>
      <c r="L58" s="82" t="n"/>
      <c r="M58" s="82" t="n">
        <v>10.31</v>
      </c>
      <c r="N58" s="81" t="n">
        <v>81.76000000000001</v>
      </c>
      <c r="O58" s="83" t="n">
        <v>186.48</v>
      </c>
      <c r="P58" s="79" t="n">
        <v>456.45</v>
      </c>
      <c r="Q58" s="79" t="n">
        <v>565.3</v>
      </c>
      <c r="R58" s="79" t="n">
        <v>633.55</v>
      </c>
      <c r="S58" s="80" t="n">
        <v>891.03</v>
      </c>
      <c r="T58" s="80" t="n">
        <v>1009.58</v>
      </c>
      <c r="U58" s="83" t="n">
        <v>152.34</v>
      </c>
      <c r="V58" s="82" t="n">
        <v>22.78</v>
      </c>
      <c r="W58" s="82" t="n"/>
      <c r="X58" s="82" t="n"/>
      <c r="Y58" s="82" t="n"/>
      <c r="Z58" s="82" t="n"/>
      <c r="AA58" s="82" t="n"/>
    </row>
    <row r="60">
      <c r="A60" s="127" t="inlineStr">
        <is>
          <t>HEAT MAP LEGEND:</t>
        </is>
      </c>
      <c r="L60" s="84" t="inlineStr">
        <is>
          <t>&gt;70% of peak</t>
        </is>
      </c>
      <c r="M60" s="85" t="inlineStr">
        <is>
          <t>40-70%</t>
        </is>
      </c>
      <c r="N60" s="86" t="inlineStr">
        <is>
          <t>15-40%</t>
        </is>
      </c>
      <c r="O60" s="87" t="inlineStr">
        <is>
          <t>5-15%</t>
        </is>
      </c>
      <c r="P60" s="88" t="inlineStr">
        <is>
          <t>&lt;5%</t>
        </is>
      </c>
    </row>
  </sheetData>
  <mergeCells count="3">
    <mergeCell ref="A1:Z1"/>
    <mergeCell ref="A60:E60"/>
    <mergeCell ref="A2:Z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001F3A5F"/>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cols>
    <col width="28" customWidth="1" style="111" min="1" max="1"/>
    <col width="34" customWidth="1" style="111" min="2" max="2"/>
    <col width="10" customWidth="1" style="111" min="3" max="3"/>
    <col width="28" customWidth="1" style="111" min="4" max="4"/>
    <col width="14" customWidth="1" style="111" min="5" max="5"/>
    <col width="14" customWidth="1" style="111" min="6" max="6"/>
    <col width="40" customWidth="1" style="111" min="7" max="7"/>
    <col width="3" customWidth="1" style="111" min="8" max="8"/>
    <col width="95" customWidth="1" style="111" min="9" max="9"/>
  </cols>
  <sheetData>
    <row r="1">
      <c r="A1" s="193" t="inlineStr">
        <is>
          <t>ERCOT Constraint Name</t>
        </is>
      </c>
      <c r="B1" s="193" t="inlineStr">
        <is>
          <t>Playbook Line</t>
        </is>
      </c>
      <c r="C1" s="193" t="inlineStr">
        <is>
          <t>Priority</t>
        </is>
      </c>
      <c r="D1" s="193" t="inlineStr">
        <is>
          <t>ERCOT Direction (From → To)</t>
        </is>
      </c>
      <c r="E1" s="193" t="inlineStr">
        <is>
          <t>Days Seen (last 180d)</t>
        </is>
      </c>
      <c r="F1" s="193" t="inlineStr">
        <is>
          <t>Use? (N = ignore)</t>
        </is>
      </c>
      <c r="G1" s="193" t="inlineStr">
        <is>
          <t>Notes</t>
        </is>
      </c>
      <c r="I1" s="194" t="inlineStr">
        <is>
          <t>How this sheet works</t>
        </is>
      </c>
    </row>
    <row r="2">
      <c r="A2" t="inlineStr">
        <is>
          <t>6830__B</t>
        </is>
      </c>
      <c r="B2" t="inlineStr">
        <is>
          <t>CRDSW-OLNEY 69KV</t>
        </is>
      </c>
      <c r="C2" t="inlineStr">
        <is>
          <t>Active</t>
        </is>
      </c>
      <c r="D2" t="inlineStr">
        <is>
          <t>CRDSW → OLNEY</t>
        </is>
      </c>
      <c r="E2" t="n">
        <v>85</v>
      </c>
      <c r="I2" t="inlineStr">
        <is>
          <t>One row per ERCOT constraint name. Column B must match a line in Line Lookup exactly.</t>
        </is>
      </c>
    </row>
    <row r="3">
      <c r="A3" t="inlineStr">
        <is>
          <t>ESCOND_GANSO1_1</t>
        </is>
      </c>
      <c r="B3" t="inlineStr">
        <is>
          <t>ESCONDID-GANSO 138KV</t>
        </is>
      </c>
      <c r="C3" t="inlineStr">
        <is>
          <t>Active</t>
        </is>
      </c>
      <c r="D3" t="inlineStr">
        <is>
          <t>ESCONDID → GANSO</t>
        </is>
      </c>
      <c r="E3" t="n">
        <v>33</v>
      </c>
      <c r="I3" t="inlineStr">
        <is>
          <t>To add one: type the ERCOT name in A and the playbook line in B. Several ERCOT names can point to the same line.</t>
        </is>
      </c>
    </row>
    <row r="4">
      <c r="A4" t="inlineStr">
        <is>
          <t>E_PASP</t>
        </is>
      </c>
      <c r="B4" t="inlineStr">
        <is>
          <t>E_PASP</t>
        </is>
      </c>
      <c r="C4" t="inlineStr">
        <is>
          <t>Active</t>
        </is>
      </c>
      <c r="D4" t="inlineStr"/>
      <c r="E4" t="n">
        <v>112</v>
      </c>
      <c r="I4" t="inlineStr">
        <is>
          <t>Type N in 'Use?' to switch a row off without deleting it.</t>
        </is>
      </c>
    </row>
    <row r="5">
      <c r="A5" t="inlineStr">
        <is>
          <t>FORTMA_YELWJC1_1</t>
        </is>
      </c>
      <c r="B5" t="inlineStr">
        <is>
          <t>FORTMA-YELWJCKT 138KV</t>
        </is>
      </c>
      <c r="C5" t="inlineStr">
        <is>
          <t>Active</t>
        </is>
      </c>
      <c r="D5" t="inlineStr">
        <is>
          <t>FORTMA → YELWJCKT</t>
        </is>
      </c>
      <c r="E5" t="n">
        <v>14</v>
      </c>
      <c r="I5" t="inlineStr">
        <is>
          <t>Both flow directions of a line (e.g. ASHERTON-CATARINA and CATARINA-ASHERTON) can share an ERCOT name; the dashboard picks by direction.</t>
        </is>
      </c>
    </row>
    <row r="6">
      <c r="A6" t="inlineStr">
        <is>
          <t>6965__A</t>
        </is>
      </c>
      <c r="B6" t="inlineStr">
        <is>
          <t>LNGSW-PRLSW 345KV</t>
        </is>
      </c>
      <c r="C6" t="inlineStr">
        <is>
          <t>Active</t>
        </is>
      </c>
      <c r="D6" t="inlineStr">
        <is>
          <t>LNGSW → PRLSW</t>
        </is>
      </c>
      <c r="E6" t="n">
        <v>43</v>
      </c>
      <c r="I6" t="inlineStr">
        <is>
          <t>Candidates not imported yet are on the 'Crosswalk Review' tab. Copy any you want into this sheet.</t>
        </is>
      </c>
    </row>
    <row r="7">
      <c r="A7" t="inlineStr">
        <is>
          <t>6945__A</t>
        </is>
      </c>
      <c r="B7" t="inlineStr">
        <is>
          <t>MGSES-CATSW 345KV</t>
        </is>
      </c>
      <c r="C7" t="inlineStr">
        <is>
          <t>Active</t>
        </is>
      </c>
      <c r="D7" t="inlineStr">
        <is>
          <t>MGSES → CATSW</t>
        </is>
      </c>
      <c r="E7" t="n">
        <v>97</v>
      </c>
    </row>
    <row r="8">
      <c r="A8" t="inlineStr">
        <is>
          <t>NLARSW_PILONC1_1</t>
        </is>
      </c>
      <c r="B8" t="inlineStr">
        <is>
          <t>NLARSW-PILONCIL 138KV</t>
        </is>
      </c>
      <c r="C8" t="inlineStr">
        <is>
          <t>Active</t>
        </is>
      </c>
      <c r="D8" t="inlineStr">
        <is>
          <t>NLARSW → PILONCIL</t>
        </is>
      </c>
      <c r="E8" t="n">
        <v>91</v>
      </c>
    </row>
    <row r="9">
      <c r="A9" t="inlineStr">
        <is>
          <t>PALOUS_WOLFCA1_1</t>
        </is>
      </c>
      <c r="B9" t="inlineStr">
        <is>
          <t>PALOUSE-WOLFCAMP 138KV</t>
        </is>
      </c>
      <c r="C9" t="inlineStr">
        <is>
          <t>Active</t>
        </is>
      </c>
      <c r="D9" t="inlineStr">
        <is>
          <t>PALOUSE → WOLFCAMP</t>
        </is>
      </c>
      <c r="E9" t="n">
        <v>75</v>
      </c>
    </row>
    <row r="10">
      <c r="A10" t="inlineStr">
        <is>
          <t>NLARSW_PILONC1_1</t>
        </is>
      </c>
      <c r="B10" t="inlineStr">
        <is>
          <t>PILONCIL-NLARSW 138KV</t>
        </is>
      </c>
      <c r="C10" t="inlineStr">
        <is>
          <t>Active</t>
        </is>
      </c>
      <c r="D10" t="inlineStr">
        <is>
          <t>PILONCIL → NLARSW</t>
        </is>
      </c>
      <c r="E10" t="n">
        <v>24</v>
      </c>
    </row>
    <row r="11">
      <c r="A11" t="inlineStr">
        <is>
          <t>STPWAP39_1</t>
        </is>
      </c>
      <c r="B11" t="inlineStr">
        <is>
          <t>STP-WAP 345KV</t>
        </is>
      </c>
      <c r="C11" t="inlineStr">
        <is>
          <t>Active</t>
        </is>
      </c>
      <c r="D11" t="inlineStr">
        <is>
          <t>STP → WAP</t>
        </is>
      </c>
      <c r="E11" t="n">
        <v>118</v>
      </c>
    </row>
    <row r="12">
      <c r="A12" t="inlineStr">
        <is>
          <t>TREADW_YELWJC1_1</t>
        </is>
      </c>
      <c r="B12" t="inlineStr">
        <is>
          <t>TREADWEL-YELWJCKT 138KV</t>
        </is>
      </c>
      <c r="C12" t="inlineStr">
        <is>
          <t>Active</t>
        </is>
      </c>
      <c r="D12" t="inlineStr">
        <is>
          <t>TREADWEL → YELWJCKT</t>
        </is>
      </c>
      <c r="E12" t="n">
        <v>68</v>
      </c>
    </row>
    <row r="13">
      <c r="A13" t="inlineStr">
        <is>
          <t>HARGRO_TWINBU1_1</t>
        </is>
      </c>
      <c r="B13" t="inlineStr">
        <is>
          <t>TWINBU-HARGROVE 138KV</t>
        </is>
      </c>
      <c r="C13" t="inlineStr">
        <is>
          <t>Active</t>
        </is>
      </c>
      <c r="D13" t="inlineStr">
        <is>
          <t>TWINBU → HARGROVE</t>
        </is>
      </c>
      <c r="E13" t="n">
        <v>24</v>
      </c>
    </row>
    <row r="14">
      <c r="A14" t="inlineStr">
        <is>
          <t>WESTEX</t>
        </is>
      </c>
      <c r="B14" t="inlineStr">
        <is>
          <t>WESTEX</t>
        </is>
      </c>
      <c r="C14" t="inlineStr">
        <is>
          <t>Active</t>
        </is>
      </c>
      <c r="D14" t="inlineStr"/>
      <c r="E14" t="n">
        <v>72</v>
      </c>
    </row>
    <row r="15">
      <c r="A15" t="inlineStr">
        <is>
          <t>FORTMA_YELWJC1_1</t>
        </is>
      </c>
      <c r="B15" t="inlineStr">
        <is>
          <t>YELWJCKT-FORTMA 138KV</t>
        </is>
      </c>
      <c r="C15" t="inlineStr">
        <is>
          <t>Active</t>
        </is>
      </c>
      <c r="D15" t="inlineStr">
        <is>
          <t>YELWJCKT → FORTMA</t>
        </is>
      </c>
      <c r="E15" t="n">
        <v>53</v>
      </c>
    </row>
    <row r="16">
      <c r="A16" t="inlineStr">
        <is>
          <t>587__A</t>
        </is>
      </c>
      <c r="B16" t="inlineStr">
        <is>
          <t>ARGYL-LWSVH 138KV</t>
        </is>
      </c>
      <c r="C16" t="inlineStr">
        <is>
          <t>Watch</t>
        </is>
      </c>
      <c r="D16" t="inlineStr">
        <is>
          <t>ARGYL → LWSVH</t>
        </is>
      </c>
      <c r="E16" t="n">
        <v>13</v>
      </c>
    </row>
    <row r="17">
      <c r="A17" t="inlineStr">
        <is>
          <t>ASHERT_CATARI1_1</t>
        </is>
      </c>
      <c r="B17" t="inlineStr">
        <is>
          <t>ASHERTON-CATARINA 138KV</t>
        </is>
      </c>
      <c r="C17" t="inlineStr">
        <is>
          <t>Watch</t>
        </is>
      </c>
      <c r="D17" t="inlineStr">
        <is>
          <t>ASHERTON → CATARINA</t>
        </is>
      </c>
      <c r="E17" t="n">
        <v>51</v>
      </c>
    </row>
    <row r="18">
      <c r="A18" t="inlineStr">
        <is>
          <t>BIG_FO_PLEASA1_1</t>
        </is>
      </c>
      <c r="B18" t="inlineStr">
        <is>
          <t>BIG_FOOT-PLEASANT 138KV</t>
        </is>
      </c>
      <c r="C18" t="inlineStr">
        <is>
          <t>Watch</t>
        </is>
      </c>
      <c r="D18" t="inlineStr">
        <is>
          <t>BIG_FOOT → PLEASANT</t>
        </is>
      </c>
      <c r="E18" t="n">
        <v>26</v>
      </c>
    </row>
    <row r="19">
      <c r="A19" t="inlineStr">
        <is>
          <t>BOW_FMR1</t>
        </is>
      </c>
      <c r="B19" t="inlineStr">
        <is>
          <t>BOW 69KV</t>
        </is>
      </c>
      <c r="C19" t="inlineStr">
        <is>
          <t>Watch</t>
        </is>
      </c>
      <c r="D19" t="inlineStr">
        <is>
          <t>BOW → BOW</t>
        </is>
      </c>
      <c r="E19" t="n">
        <v>19</v>
      </c>
    </row>
    <row r="20">
      <c r="A20" t="inlineStr">
        <is>
          <t>BR_HOC09_A</t>
        </is>
      </c>
      <c r="B20" t="inlineStr">
        <is>
          <t>BR-HOC 138KV</t>
        </is>
      </c>
      <c r="C20" t="inlineStr">
        <is>
          <t>Watch</t>
        </is>
      </c>
      <c r="D20" t="inlineStr">
        <is>
          <t>BR → HOC</t>
        </is>
      </c>
      <c r="E20" t="n">
        <v>2</v>
      </c>
    </row>
    <row r="21">
      <c r="A21" t="inlineStr">
        <is>
          <t>BRUNI_69_1</t>
        </is>
      </c>
      <c r="B21" t="inlineStr">
        <is>
          <t>BRUNI 138KV</t>
        </is>
      </c>
      <c r="C21" t="inlineStr">
        <is>
          <t>Watch</t>
        </is>
      </c>
      <c r="D21" t="inlineStr">
        <is>
          <t>BRUNI → BRUNI</t>
        </is>
      </c>
      <c r="E21" t="n">
        <v>109</v>
      </c>
    </row>
    <row r="22">
      <c r="A22" t="inlineStr">
        <is>
          <t>CARVER_TINSLE1_1</t>
        </is>
      </c>
      <c r="B22" t="inlineStr">
        <is>
          <t>CARVER-TINSLEY 138KV</t>
        </is>
      </c>
      <c r="C22" t="inlineStr">
        <is>
          <t>Watch</t>
        </is>
      </c>
      <c r="D22" t="inlineStr">
        <is>
          <t>CARVER → TINSLEY</t>
        </is>
      </c>
      <c r="E22" t="n">
        <v>24</v>
      </c>
    </row>
    <row r="23">
      <c r="A23" t="inlineStr">
        <is>
          <t>ASHERT_CATARI1_1</t>
        </is>
      </c>
      <c r="B23" t="inlineStr">
        <is>
          <t>CATARINA-ASHERTON 138KV</t>
        </is>
      </c>
      <c r="C23" t="inlineStr">
        <is>
          <t>Watch</t>
        </is>
      </c>
      <c r="D23" t="inlineStr">
        <is>
          <t>CATARINA → ASHERTON</t>
        </is>
      </c>
      <c r="E23" t="n">
        <v>44</v>
      </c>
    </row>
    <row r="24">
      <c r="A24" t="inlineStr">
        <is>
          <t>651__B</t>
        </is>
      </c>
      <c r="B24" t="inlineStr">
        <is>
          <t>CMNSW-CMNTP 138KV</t>
        </is>
      </c>
      <c r="C24" t="inlineStr">
        <is>
          <t>Watch</t>
        </is>
      </c>
      <c r="D24" t="inlineStr">
        <is>
          <t>CMNSW → CMNTP</t>
        </is>
      </c>
      <c r="E24" t="n">
        <v>70</v>
      </c>
    </row>
    <row r="25">
      <c r="A25" t="inlineStr">
        <is>
          <t>COLETO_VICTOR2_1</t>
        </is>
      </c>
      <c r="B25" t="inlineStr">
        <is>
          <t>COLETO CREEK-VICTORIA</t>
        </is>
      </c>
      <c r="C25" t="inlineStr">
        <is>
          <t>Watch</t>
        </is>
      </c>
      <c r="D25" t="inlineStr">
        <is>
          <t>COLETO → VICTORIA</t>
        </is>
      </c>
      <c r="E25" t="n">
        <v>10</v>
      </c>
    </row>
    <row r="26">
      <c r="A26" t="inlineStr">
        <is>
          <t>16050__B</t>
        </is>
      </c>
      <c r="B26" t="inlineStr">
        <is>
          <t>CRTRVLLE-HILGR 138KV</t>
        </is>
      </c>
      <c r="C26" t="inlineStr">
        <is>
          <t>Watch</t>
        </is>
      </c>
      <c r="D26" t="inlineStr">
        <is>
          <t>CRTRVLLE → HILGR</t>
        </is>
      </c>
      <c r="E26" t="n">
        <v>8</v>
      </c>
    </row>
    <row r="27">
      <c r="A27" t="inlineStr">
        <is>
          <t>381__A</t>
        </is>
      </c>
      <c r="B27" t="inlineStr">
        <is>
          <t>FMRVL-RYSSW 345KV</t>
        </is>
      </c>
      <c r="C27" t="inlineStr">
        <is>
          <t>Watch</t>
        </is>
      </c>
      <c r="D27" t="inlineStr">
        <is>
          <t>FMRVL → RYSSW</t>
        </is>
      </c>
      <c r="E27" t="n">
        <v>23</v>
      </c>
    </row>
    <row r="28">
      <c r="A28" t="inlineStr">
        <is>
          <t>400__A</t>
        </is>
      </c>
      <c r="B28" t="inlineStr">
        <is>
          <t>FMRVL-RYSSW 345KV</t>
        </is>
      </c>
      <c r="C28" t="inlineStr">
        <is>
          <t>Watch</t>
        </is>
      </c>
      <c r="D28" t="inlineStr">
        <is>
          <t>FMRVL → RYSSW</t>
        </is>
      </c>
      <c r="E28" t="n">
        <v>48</v>
      </c>
    </row>
    <row r="29">
      <c r="A29" t="inlineStr">
        <is>
          <t>GN_PZ_08_A</t>
        </is>
      </c>
      <c r="B29" t="inlineStr">
        <is>
          <t>GN-PZ 138KV</t>
        </is>
      </c>
      <c r="C29" t="inlineStr">
        <is>
          <t>Watch</t>
        </is>
      </c>
      <c r="D29" t="inlineStr">
        <is>
          <t>GN → PZ</t>
        </is>
      </c>
      <c r="E29" t="n">
        <v>69</v>
      </c>
    </row>
    <row r="30">
      <c r="A30" t="inlineStr">
        <is>
          <t>HON_DEVI_1</t>
        </is>
      </c>
      <c r="B30" t="inlineStr">
        <is>
          <t>HONDOCK-DEVINESW 69KV</t>
        </is>
      </c>
      <c r="C30" t="inlineStr">
        <is>
          <t>Watch</t>
        </is>
      </c>
      <c r="D30" t="inlineStr">
        <is>
          <t>HONDOCK → DEVINESW</t>
        </is>
      </c>
      <c r="E30" t="n">
        <v>52</v>
      </c>
    </row>
    <row r="31">
      <c r="A31" t="inlineStr">
        <is>
          <t>I_FW_N</t>
        </is>
      </c>
      <c r="B31" t="inlineStr">
        <is>
          <t>I_FW_N</t>
        </is>
      </c>
      <c r="C31" t="inlineStr">
        <is>
          <t>Watch</t>
        </is>
      </c>
      <c r="D31" t="inlineStr"/>
      <c r="E31" t="n">
        <v>3</v>
      </c>
    </row>
    <row r="32">
      <c r="A32" t="inlineStr">
        <is>
          <t>630__B</t>
        </is>
      </c>
      <c r="B32" t="inlineStr">
        <is>
          <t>KLNSW-HHSTH 138KV</t>
        </is>
      </c>
      <c r="C32" t="inlineStr">
        <is>
          <t>Watch</t>
        </is>
      </c>
      <c r="D32" t="inlineStr">
        <is>
          <t>KLNSW → HHSTH</t>
        </is>
      </c>
      <c r="E32" t="n">
        <v>13</v>
      </c>
    </row>
    <row r="33">
      <c r="A33" t="inlineStr">
        <is>
          <t>LAKENA_SAMATH1_1</t>
        </is>
      </c>
      <c r="B33" t="inlineStr">
        <is>
          <t>LAKENASW-SAMATHIS 69KV</t>
        </is>
      </c>
      <c r="C33" t="inlineStr">
        <is>
          <t>Watch</t>
        </is>
      </c>
      <c r="D33" t="inlineStr">
        <is>
          <t>LAKENASW → SAMATHIS</t>
        </is>
      </c>
      <c r="E33" t="n">
        <v>63</v>
      </c>
    </row>
    <row r="34">
      <c r="A34" t="inlineStr">
        <is>
          <t>DEL_MA_LAREDO1_1</t>
        </is>
      </c>
      <c r="B34" t="inlineStr">
        <is>
          <t>LAREDO-DEL_MAR 138KV</t>
        </is>
      </c>
      <c r="C34" t="inlineStr">
        <is>
          <t>Watch</t>
        </is>
      </c>
      <c r="D34" t="inlineStr">
        <is>
          <t>LAREDO → DEL_MAR</t>
        </is>
      </c>
      <c r="E34" t="n">
        <v>1</v>
      </c>
    </row>
    <row r="35">
      <c r="A35" t="inlineStr">
        <is>
          <t>HAINE__LA_PAL1_1</t>
        </is>
      </c>
      <c r="B35" t="inlineStr">
        <is>
          <t>LA_PALMA-HAINE_DR 138KV</t>
        </is>
      </c>
      <c r="C35" t="inlineStr">
        <is>
          <t>Watch</t>
        </is>
      </c>
      <c r="D35" t="inlineStr">
        <is>
          <t>LA_PALMA → HAINE_DR</t>
        </is>
      </c>
      <c r="E35" t="n">
        <v>53</v>
      </c>
    </row>
    <row r="36">
      <c r="A36" t="inlineStr">
        <is>
          <t>LPLMK_LPLNE_1</t>
        </is>
      </c>
      <c r="B36" t="inlineStr">
        <is>
          <t>LPLMK-LPLNE 115KV</t>
        </is>
      </c>
      <c r="C36" t="inlineStr">
        <is>
          <t>Watch</t>
        </is>
      </c>
      <c r="D36" t="inlineStr">
        <is>
          <t>LPLMK → LPLNE</t>
        </is>
      </c>
      <c r="E36" t="n">
        <v>97</v>
      </c>
    </row>
    <row r="37">
      <c r="A37" t="inlineStr">
        <is>
          <t>MADDUX_TREADW1_1</t>
        </is>
      </c>
      <c r="B37" t="inlineStr">
        <is>
          <t>MADDUX-TREADWEL 138KV</t>
        </is>
      </c>
      <c r="C37" t="inlineStr">
        <is>
          <t>Watch</t>
        </is>
      </c>
      <c r="D37" t="inlineStr">
        <is>
          <t>MADDUX → TREADWEL</t>
        </is>
      </c>
      <c r="E37" t="n">
        <v>36</v>
      </c>
    </row>
    <row r="38">
      <c r="A38" t="inlineStr">
        <is>
          <t>KATEMC_MASN1_1</t>
        </is>
      </c>
      <c r="B38" t="inlineStr">
        <is>
          <t>MASN-KATEMCY 69KV</t>
        </is>
      </c>
      <c r="C38" t="inlineStr">
        <is>
          <t>Watch</t>
        </is>
      </c>
      <c r="D38" t="inlineStr">
        <is>
          <t>MASN → KATEMCY</t>
        </is>
      </c>
      <c r="E38" t="n">
        <v>1</v>
      </c>
    </row>
    <row r="39">
      <c r="A39" t="inlineStr">
        <is>
          <t>HAMILT_MAXWEL1_1</t>
        </is>
      </c>
      <c r="B39" t="inlineStr">
        <is>
          <t>MAXWELL-HAMILTON 138KV</t>
        </is>
      </c>
      <c r="C39" t="inlineStr">
        <is>
          <t>Watch</t>
        </is>
      </c>
      <c r="D39" t="inlineStr">
        <is>
          <t>MAXWELL → HAMILTON</t>
        </is>
      </c>
      <c r="E39" t="n">
        <v>23</v>
      </c>
    </row>
    <row r="40">
      <c r="A40" t="inlineStr">
        <is>
          <t>6635__G</t>
        </is>
      </c>
      <c r="B40" t="inlineStr">
        <is>
          <t>MRVLY-ESTLD 69KV</t>
        </is>
      </c>
      <c r="C40" t="inlineStr">
        <is>
          <t>Watch</t>
        </is>
      </c>
      <c r="D40" t="inlineStr">
        <is>
          <t>MRVLY → ESTLD</t>
        </is>
      </c>
      <c r="E40" t="n">
        <v>34</v>
      </c>
    </row>
    <row r="41">
      <c r="A41" t="inlineStr">
        <is>
          <t>BURNS_HEIDLBRG_1</t>
        </is>
      </c>
      <c r="B41" t="inlineStr">
        <is>
          <t>MV_BURNS-MV_HBRG4 138KV</t>
        </is>
      </c>
      <c r="C41" t="inlineStr">
        <is>
          <t>Watch</t>
        </is>
      </c>
      <c r="D41" t="inlineStr">
        <is>
          <t>MV_BURNS → MV_HBRG4</t>
        </is>
      </c>
      <c r="E41" t="n">
        <v>8</v>
      </c>
    </row>
    <row r="42">
      <c r="A42" t="inlineStr">
        <is>
          <t>CROSSO_NORTMC1_1</t>
        </is>
      </c>
      <c r="B42" t="inlineStr">
        <is>
          <t>NORTMC-CROSSOVE 138KV</t>
        </is>
      </c>
      <c r="C42" t="inlineStr">
        <is>
          <t>Watch</t>
        </is>
      </c>
      <c r="D42" t="inlineStr">
        <is>
          <t>NORTMC → CROSSOVE</t>
        </is>
      </c>
      <c r="E42" t="n">
        <v>37</v>
      </c>
    </row>
    <row r="43">
      <c r="A43" t="inlineStr">
        <is>
          <t>6056__B</t>
        </is>
      </c>
      <c r="B43" t="inlineStr">
        <is>
          <t>PRLSW-CONSW 345KV</t>
        </is>
      </c>
      <c r="C43" t="inlineStr">
        <is>
          <t>Watch</t>
        </is>
      </c>
      <c r="D43" t="inlineStr">
        <is>
          <t>PRLSW → CONSW</t>
        </is>
      </c>
      <c r="E43" t="n">
        <v>1</v>
      </c>
    </row>
    <row r="44">
      <c r="A44" t="inlineStr">
        <is>
          <t>6960__A</t>
        </is>
      </c>
      <c r="B44" t="inlineStr">
        <is>
          <t>PRLSW-CONSW 345KV</t>
        </is>
      </c>
      <c r="C44" t="inlineStr">
        <is>
          <t>Watch</t>
        </is>
      </c>
      <c r="D44" t="inlineStr">
        <is>
          <t>PRLSW → CONSW</t>
        </is>
      </c>
      <c r="E44" t="n">
        <v>1</v>
      </c>
    </row>
    <row r="45">
      <c r="A45" t="inlineStr">
        <is>
          <t>35055__A</t>
        </is>
      </c>
      <c r="B45" t="inlineStr">
        <is>
          <t>SAMSW-VENSW 345KV</t>
        </is>
      </c>
      <c r="C45" t="inlineStr">
        <is>
          <t>Watch</t>
        </is>
      </c>
      <c r="D45" t="inlineStr">
        <is>
          <t>SAMSW → VENSW</t>
        </is>
      </c>
      <c r="E45" t="n">
        <v>71</v>
      </c>
    </row>
    <row r="46">
      <c r="A46" t="inlineStr">
        <is>
          <t>ATSO_SONR1_1</t>
        </is>
      </c>
      <c r="B46" t="inlineStr">
        <is>
          <t>SONR-ATSO 69KV</t>
        </is>
      </c>
      <c r="C46" t="inlineStr">
        <is>
          <t>Watch</t>
        </is>
      </c>
      <c r="D46" t="inlineStr">
        <is>
          <t>SONR → ATSO</t>
        </is>
      </c>
      <c r="E46" t="n">
        <v>38</v>
      </c>
    </row>
    <row r="47">
      <c r="A47" t="inlineStr">
        <is>
          <t>READIN_UVALDE1_1</t>
        </is>
      </c>
      <c r="B47" t="inlineStr">
        <is>
          <t>UVALDE-READING 138KV</t>
        </is>
      </c>
      <c r="C47" t="inlineStr">
        <is>
          <t>Watch</t>
        </is>
      </c>
      <c r="D47" t="inlineStr">
        <is>
          <t>UVALDE → READING</t>
        </is>
      </c>
      <c r="E47" t="n">
        <v>9</v>
      </c>
    </row>
    <row r="48">
      <c r="A48" t="inlineStr">
        <is>
          <t>SANTAR_WOLFCA1_1</t>
        </is>
      </c>
      <c r="B48" t="inlineStr">
        <is>
          <t>WOLFCAMP-SANTARIT 138KV</t>
        </is>
      </c>
      <c r="C48" t="inlineStr">
        <is>
          <t>Watch</t>
        </is>
      </c>
      <c r="D48" t="inlineStr">
        <is>
          <t>WOLFCAMP → SANTARIT</t>
        </is>
      </c>
      <c r="E48" t="n">
        <v>19</v>
      </c>
    </row>
    <row r="49">
      <c r="A49" t="inlineStr">
        <is>
          <t>6275__D</t>
        </is>
      </c>
      <c r="B49" t="inlineStr">
        <is>
          <t>BCPSW-AZLES 138KV</t>
        </is>
      </c>
      <c r="C49" t="inlineStr">
        <is>
          <t>New</t>
        </is>
      </c>
      <c r="D49" t="inlineStr">
        <is>
          <t>BCPSW → AZLES</t>
        </is>
      </c>
      <c r="E49" t="n">
        <v>3</v>
      </c>
    </row>
    <row r="50">
      <c r="A50" t="inlineStr">
        <is>
          <t>SND_ORAN_1</t>
        </is>
      </c>
      <c r="B50" t="inlineStr">
        <is>
          <t>ORNGROV-SNDIEGS 69kV</t>
        </is>
      </c>
      <c r="C50" t="inlineStr">
        <is>
          <t>New</t>
        </is>
      </c>
      <c r="D50" t="inlineStr">
        <is>
          <t>ORNGROV → SNDIEGS</t>
        </is>
      </c>
      <c r="E50" t="n">
        <v>27</v>
      </c>
    </row>
    <row r="51">
      <c r="A51" t="inlineStr">
        <is>
          <t>POT_PEAR_1</t>
        </is>
      </c>
      <c r="B51" t="inlineStr">
        <is>
          <t>PEARSALL-POTEETS 69KV</t>
        </is>
      </c>
      <c r="C51" t="inlineStr">
        <is>
          <t>New</t>
        </is>
      </c>
      <c r="D51" t="inlineStr">
        <is>
          <t>PEARSALL → POTEETS</t>
        </is>
      </c>
      <c r="E51" t="n">
        <v>20</v>
      </c>
    </row>
    <row r="52">
      <c r="A52" t="inlineStr">
        <is>
          <t>POT_OAKS_1</t>
        </is>
      </c>
      <c r="B52" t="inlineStr">
        <is>
          <t>POTEET-OAKS 69kV</t>
        </is>
      </c>
      <c r="C52" t="inlineStr">
        <is>
          <t>New</t>
        </is>
      </c>
      <c r="D52" t="inlineStr">
        <is>
          <t>POTEETS → OAKS9</t>
        </is>
      </c>
      <c r="E52" t="n">
        <v>20</v>
      </c>
    </row>
    <row r="53">
      <c r="A53" t="inlineStr">
        <is>
          <t>ABNTHW_SERDEV1_1</t>
        </is>
      </c>
      <c r="B53" t="inlineStr">
        <is>
          <t>ABNTHWST 138KV</t>
        </is>
      </c>
      <c r="C53" t="inlineStr">
        <is>
          <t>Low</t>
        </is>
      </c>
      <c r="D53" t="inlineStr">
        <is>
          <t>ABNTHWST → ABNTHWST</t>
        </is>
      </c>
      <c r="E53" t="n">
        <v>13</v>
      </c>
    </row>
    <row r="54">
      <c r="A54" t="inlineStr">
        <is>
          <t>583T583_1</t>
        </is>
      </c>
      <c r="B54" t="inlineStr">
        <is>
          <t>BANDER-MASOCR 138KV</t>
        </is>
      </c>
      <c r="C54" t="inlineStr">
        <is>
          <t>Low</t>
        </is>
      </c>
      <c r="D54" t="inlineStr">
        <is>
          <t>BANDER → MASOCR</t>
        </is>
      </c>
      <c r="E54" t="n">
        <v>2</v>
      </c>
    </row>
    <row r="55">
      <c r="A55" t="inlineStr">
        <is>
          <t>421__A</t>
        </is>
      </c>
      <c r="B55" t="inlineStr">
        <is>
          <t>BCESW-SNDSW 345KV</t>
        </is>
      </c>
      <c r="C55" t="inlineStr">
        <is>
          <t>Low</t>
        </is>
      </c>
      <c r="D55" t="inlineStr">
        <is>
          <t>BCESW → SNDSW</t>
        </is>
      </c>
      <c r="E55" t="n">
        <v>58</v>
      </c>
    </row>
    <row r="56">
      <c r="A56" t="inlineStr">
        <is>
          <t>BLESSING_1382</t>
        </is>
      </c>
      <c r="B56" t="inlineStr">
        <is>
          <t>BLESSING 345KV</t>
        </is>
      </c>
      <c r="C56" t="inlineStr">
        <is>
          <t>Low</t>
        </is>
      </c>
      <c r="D56" t="inlineStr">
        <is>
          <t>BLESSING → BLESSING</t>
        </is>
      </c>
      <c r="E56" t="n">
        <v>45</v>
      </c>
    </row>
    <row r="57">
      <c r="A57" t="inlineStr">
        <is>
          <t>CRD_CRD2</t>
        </is>
      </c>
      <c r="B57" t="inlineStr">
        <is>
          <t>CRD 345KV</t>
        </is>
      </c>
      <c r="C57" t="inlineStr">
        <is>
          <t>Low</t>
        </is>
      </c>
      <c r="D57" t="inlineStr">
        <is>
          <t>CRD → CRD</t>
        </is>
      </c>
      <c r="E57" t="n">
        <v>7</v>
      </c>
    </row>
    <row r="58">
      <c r="A58" t="inlineStr">
        <is>
          <t>DOWOAS18_A</t>
        </is>
      </c>
      <c r="B58" t="inlineStr">
        <is>
          <t>DOW-OAS 345KV</t>
        </is>
      </c>
      <c r="C58" t="inlineStr">
        <is>
          <t>Low</t>
        </is>
      </c>
      <c r="D58" t="inlineStr">
        <is>
          <t>DOW → OAS</t>
        </is>
      </c>
      <c r="E58" t="n">
        <v>10</v>
      </c>
    </row>
    <row r="59">
      <c r="A59" t="inlineStr">
        <is>
          <t>2585_1</t>
        </is>
      </c>
      <c r="B59" t="inlineStr">
        <is>
          <t>DOWNIES-MOORE 138KV</t>
        </is>
      </c>
      <c r="C59" t="inlineStr">
        <is>
          <t>Low</t>
        </is>
      </c>
      <c r="D59" t="inlineStr">
        <is>
          <t>DOWNIES → MOORE</t>
        </is>
      </c>
      <c r="E59" t="n">
        <v>12</v>
      </c>
    </row>
    <row r="60">
      <c r="A60" t="inlineStr">
        <is>
          <t>CRTVLE_EINSTEN_1</t>
        </is>
      </c>
      <c r="B60" t="inlineStr">
        <is>
          <t>EINSTEIN-CRTRVLLE 138KV</t>
        </is>
      </c>
      <c r="C60" t="inlineStr">
        <is>
          <t>Low</t>
        </is>
      </c>
      <c r="D60" t="inlineStr">
        <is>
          <t>EINSTEIN → CRTRVLLE</t>
        </is>
      </c>
      <c r="E60" t="n">
        <v>1</v>
      </c>
    </row>
    <row r="61">
      <c r="A61" t="inlineStr">
        <is>
          <t>6635__G</t>
        </is>
      </c>
      <c r="B61" t="inlineStr">
        <is>
          <t>ESTLD-MRVLY 69KV</t>
        </is>
      </c>
      <c r="C61" t="inlineStr">
        <is>
          <t>Low</t>
        </is>
      </c>
      <c r="D61" t="inlineStr">
        <is>
          <t>MRVLY → ESTLD</t>
        </is>
      </c>
      <c r="E61" t="n">
        <v>34</v>
      </c>
    </row>
    <row r="62">
      <c r="A62" t="inlineStr">
        <is>
          <t>109__A</t>
        </is>
      </c>
      <c r="B62" t="inlineStr">
        <is>
          <t>EXCSW-RNKSW 345KV</t>
        </is>
      </c>
      <c r="C62" t="inlineStr">
        <is>
          <t>Low</t>
        </is>
      </c>
      <c r="D62" t="inlineStr">
        <is>
          <t>EXCSW → RNKSW</t>
        </is>
      </c>
      <c r="E62" t="n">
        <v>1</v>
      </c>
    </row>
    <row r="63">
      <c r="A63" t="inlineStr">
        <is>
          <t>GANSO_MAVERI1_1</t>
        </is>
      </c>
      <c r="B63" t="inlineStr">
        <is>
          <t>GANSO-MAVERICK 138KV</t>
        </is>
      </c>
      <c r="C63" t="inlineStr">
        <is>
          <t>Low</t>
        </is>
      </c>
      <c r="D63" t="inlineStr">
        <is>
          <t>MAVERICK → GANSO</t>
        </is>
      </c>
      <c r="E63" t="n">
        <v>2</v>
      </c>
    </row>
    <row r="64">
      <c r="A64" t="inlineStr">
        <is>
          <t>HAMILT_MAVERI1_1</t>
        </is>
      </c>
      <c r="B64" t="inlineStr">
        <is>
          <t>HAMILTON-MAVERICK 138KV</t>
        </is>
      </c>
      <c r="C64" t="inlineStr">
        <is>
          <t>Low</t>
        </is>
      </c>
      <c r="D64" t="inlineStr">
        <is>
          <t>HAMILTON → MAVERICK</t>
        </is>
      </c>
      <c r="E64" t="n">
        <v>33</v>
      </c>
    </row>
    <row r="65">
      <c r="A65" t="inlineStr">
        <is>
          <t>I_KALO</t>
        </is>
      </c>
      <c r="B65" t="inlineStr">
        <is>
          <t>I_KALO</t>
        </is>
      </c>
      <c r="C65" t="inlineStr">
        <is>
          <t>Low</t>
        </is>
      </c>
      <c r="D65" t="inlineStr"/>
      <c r="E65" t="n">
        <v>13</v>
      </c>
    </row>
    <row r="66">
      <c r="A66" t="inlineStr">
        <is>
          <t>40__A</t>
        </is>
      </c>
      <c r="B66" t="inlineStr">
        <is>
          <t>JEWET-BBSES 345KV</t>
        </is>
      </c>
      <c r="C66" t="inlineStr">
        <is>
          <t>Low</t>
        </is>
      </c>
      <c r="D66" t="inlineStr">
        <is>
          <t>BBSES → JEWET</t>
        </is>
      </c>
      <c r="E66" t="n">
        <v>1</v>
      </c>
    </row>
    <row r="67">
      <c r="A67" t="inlineStr">
        <is>
          <t>656T656_1</t>
        </is>
      </c>
      <c r="B67" t="inlineStr">
        <is>
          <t>KENDAL-BERGHE 345KV</t>
        </is>
      </c>
      <c r="C67" t="inlineStr">
        <is>
          <t>Low</t>
        </is>
      </c>
      <c r="D67" t="inlineStr">
        <is>
          <t>KENDAL → BERGHE</t>
        </is>
      </c>
      <c r="E67" t="n">
        <v>12</v>
      </c>
    </row>
    <row r="68">
      <c r="A68" t="inlineStr">
        <is>
          <t>LARDVN_LASCRU1_1</t>
        </is>
      </c>
      <c r="B68" t="inlineStr">
        <is>
          <t>LARDVNTH-LASCRUCE 138KV</t>
        </is>
      </c>
      <c r="C68" t="inlineStr">
        <is>
          <t>Low</t>
        </is>
      </c>
      <c r="D68" t="inlineStr">
        <is>
          <t>LARDVNTH → LASCRUCE</t>
        </is>
      </c>
      <c r="E68" t="n">
        <v>4</v>
      </c>
    </row>
    <row r="69">
      <c r="A69" t="inlineStr">
        <is>
          <t>LARDVN_LOBO2_1</t>
        </is>
      </c>
      <c r="B69" t="inlineStr">
        <is>
          <t>LOBO-LARDVNTH 138KV</t>
        </is>
      </c>
      <c r="C69" t="inlineStr">
        <is>
          <t>Low</t>
        </is>
      </c>
      <c r="D69" t="inlineStr">
        <is>
          <t>LOBO → LARDVNTH</t>
        </is>
      </c>
      <c r="E69" t="n">
        <v>16</v>
      </c>
    </row>
    <row r="70">
      <c r="A70" t="inlineStr">
        <is>
          <t>MADDUX_SAPOWE1_1</t>
        </is>
      </c>
      <c r="B70" t="inlineStr">
        <is>
          <t>MADDUX-SAPOWER 138KV</t>
        </is>
      </c>
      <c r="C70" t="inlineStr">
        <is>
          <t>Low</t>
        </is>
      </c>
      <c r="D70" t="inlineStr">
        <is>
          <t>MADDUX → SAPOWER</t>
        </is>
      </c>
      <c r="E70" t="n">
        <v>13</v>
      </c>
    </row>
    <row r="71">
      <c r="A71" t="inlineStr">
        <is>
          <t>HAMILT_MAVERI1_1</t>
        </is>
      </c>
      <c r="B71" t="inlineStr">
        <is>
          <t>MAVERICK-HAMILTON 138KV</t>
        </is>
      </c>
      <c r="C71" t="inlineStr">
        <is>
          <t>Low</t>
        </is>
      </c>
      <c r="D71" t="inlineStr">
        <is>
          <t>MAVERICK → HAMILTON</t>
        </is>
      </c>
      <c r="E71" t="n">
        <v>1</v>
      </c>
    </row>
    <row r="72">
      <c r="A72" t="inlineStr">
        <is>
          <t>MDOPHR99_A</t>
        </is>
      </c>
      <c r="B72" t="inlineStr">
        <is>
          <t>MDO-PHR 345KV</t>
        </is>
      </c>
      <c r="C72" t="inlineStr">
        <is>
          <t>Low</t>
        </is>
      </c>
      <c r="D72" t="inlineStr">
        <is>
          <t>MDO → PHR</t>
        </is>
      </c>
      <c r="E72" t="n">
        <v>103</v>
      </c>
    </row>
    <row r="73">
      <c r="A73" t="inlineStr">
        <is>
          <t>6840__B</t>
        </is>
      </c>
      <c r="B73" t="inlineStr">
        <is>
          <t>NVKSW-ANARN 69KV</t>
        </is>
      </c>
      <c r="C73" t="inlineStr">
        <is>
          <t>Low</t>
        </is>
      </c>
      <c r="D73" t="inlineStr">
        <is>
          <t>NVKSW → ANARN</t>
        </is>
      </c>
      <c r="E73" t="n">
        <v>52</v>
      </c>
    </row>
    <row r="74">
      <c r="A74" t="inlineStr">
        <is>
          <t>6513__A</t>
        </is>
      </c>
      <c r="B74" t="inlineStr">
        <is>
          <t>ODESA-ODNTH 138KV</t>
        </is>
      </c>
      <c r="C74" t="inlineStr">
        <is>
          <t>Low</t>
        </is>
      </c>
      <c r="D74" t="inlineStr">
        <is>
          <t>ODESA → ODNTH</t>
        </is>
      </c>
      <c r="E74" t="n">
        <v>1</v>
      </c>
    </row>
    <row r="75">
      <c r="A75" t="inlineStr">
        <is>
          <t>MIDW_OZONA1_1</t>
        </is>
      </c>
      <c r="B75" t="inlineStr">
        <is>
          <t>OZONA-MIDW 69KV</t>
        </is>
      </c>
      <c r="C75" t="inlineStr">
        <is>
          <t>Low</t>
        </is>
      </c>
      <c r="D75" t="inlineStr">
        <is>
          <t>OZONA → MIDW</t>
        </is>
      </c>
      <c r="E75" t="n">
        <v>8</v>
      </c>
    </row>
    <row r="76">
      <c r="A76" t="inlineStr">
        <is>
          <t>CATARI_PILONC1_1</t>
        </is>
      </c>
      <c r="B76" t="inlineStr">
        <is>
          <t>PILONCIL-CATARINA 138KV</t>
        </is>
      </c>
      <c r="C76" t="inlineStr">
        <is>
          <t>Low</t>
        </is>
      </c>
      <c r="D76" t="inlineStr">
        <is>
          <t>PILONCIL → CATARINA</t>
        </is>
      </c>
      <c r="E76" t="n">
        <v>3</v>
      </c>
    </row>
    <row r="77">
      <c r="A77" t="inlineStr">
        <is>
          <t>BURNS_RIOHONDO_1</t>
        </is>
      </c>
      <c r="B77" t="inlineStr">
        <is>
          <t>RIOHONDO-MV_BURNS 138KV</t>
        </is>
      </c>
      <c r="C77" t="inlineStr">
        <is>
          <t>Low</t>
        </is>
      </c>
      <c r="D77" t="inlineStr">
        <is>
          <t>RIOHONDO → MV_BURNS</t>
        </is>
      </c>
      <c r="E77" t="n">
        <v>1</v>
      </c>
    </row>
    <row r="78">
      <c r="A78" t="inlineStr">
        <is>
          <t>SANA_FMR1</t>
        </is>
      </c>
      <c r="B78" t="inlineStr">
        <is>
          <t>SANA 138KV</t>
        </is>
      </c>
      <c r="C78" t="inlineStr">
        <is>
          <t>Low</t>
        </is>
      </c>
      <c r="D78" t="inlineStr">
        <is>
          <t>SANA → SANA</t>
        </is>
      </c>
      <c r="E78" t="n">
        <v>3</v>
      </c>
    </row>
    <row r="79">
      <c r="A79" t="inlineStr">
        <is>
          <t>300__A</t>
        </is>
      </c>
      <c r="B79" t="inlineStr">
        <is>
          <t>TMPSW-TMPCR 345KV</t>
        </is>
      </c>
      <c r="C79" t="inlineStr">
        <is>
          <t>Low</t>
        </is>
      </c>
      <c r="D79" t="inlineStr">
        <is>
          <t>TMPSW → TMPCR</t>
        </is>
      </c>
      <c r="E79" t="n">
        <v>1</v>
      </c>
    </row>
    <row r="80">
      <c r="A80" t="inlineStr">
        <is>
          <t>138_FLT_FXT_1</t>
        </is>
      </c>
      <c r="B80" t="inlineStr">
        <is>
          <t>TNFXTAIL-FLAT_TOP 138KV</t>
        </is>
      </c>
      <c r="C80" t="inlineStr">
        <is>
          <t>Low</t>
        </is>
      </c>
      <c r="D80" t="inlineStr">
        <is>
          <t>TNFXTAIL → FLAT_TOP</t>
        </is>
      </c>
      <c r="E80" t="n">
        <v>7</v>
      </c>
    </row>
    <row r="81">
      <c r="A81" t="inlineStr">
        <is>
          <t>VALEXP</t>
        </is>
      </c>
      <c r="B81" t="inlineStr">
        <is>
          <t>VALEXP</t>
        </is>
      </c>
      <c r="C81" t="inlineStr">
        <is>
          <t>Low</t>
        </is>
      </c>
      <c r="D81" t="inlineStr"/>
      <c r="E81" t="n">
        <v>12</v>
      </c>
    </row>
    <row r="82">
      <c r="A82" t="inlineStr">
        <is>
          <t>WCR_CARI_1</t>
        </is>
      </c>
      <c r="B82" t="inlineStr">
        <is>
          <t>WCRYSTS-CARIZOS 69KV</t>
        </is>
      </c>
      <c r="C82" t="inlineStr">
        <is>
          <t>Low</t>
        </is>
      </c>
      <c r="D82" t="inlineStr">
        <is>
          <t>WCRYSTS → CARIZOS</t>
        </is>
      </c>
      <c r="E82" t="n">
        <v>1</v>
      </c>
    </row>
    <row r="83">
      <c r="A83" t="inlineStr">
        <is>
          <t>UVALDE_W_BATE1_1</t>
        </is>
      </c>
      <c r="B83" t="inlineStr">
        <is>
          <t>W_BATESV-UVALDE 138KV</t>
        </is>
      </c>
      <c r="C83" t="inlineStr">
        <is>
          <t>Low</t>
        </is>
      </c>
      <c r="D83" t="inlineStr">
        <is>
          <t>W_BATESV → UVALDE</t>
        </is>
      </c>
      <c r="E83" t="n">
        <v>10</v>
      </c>
    </row>
    <row r="84">
      <c r="A84" t="inlineStr">
        <is>
          <t>HEXT_YELWJC1_1</t>
        </is>
      </c>
      <c r="B84" t="inlineStr">
        <is>
          <t>YELWJCKT-HEXT 69KV</t>
        </is>
      </c>
      <c r="C84" t="inlineStr">
        <is>
          <t>Low</t>
        </is>
      </c>
      <c r="D84" t="inlineStr">
        <is>
          <t>YELWJCKT → HEXT</t>
        </is>
      </c>
      <c r="E84" t="n">
        <v>46</v>
      </c>
    </row>
    <row r="85">
      <c r="A85" t="inlineStr">
        <is>
          <t>THWZEN71_A</t>
        </is>
      </c>
      <c r="B85" t="inlineStr">
        <is>
          <t>ZEN-THW 345KV</t>
        </is>
      </c>
      <c r="C85" t="inlineStr">
        <is>
          <t>Low</t>
        </is>
      </c>
      <c r="D85" t="inlineStr">
        <is>
          <t>ZEN → THW</t>
        </is>
      </c>
      <c r="E85" t="n">
        <v>22</v>
      </c>
    </row>
    <row r="86">
      <c r="A86" t="inlineStr">
        <is>
          <t>THWZEN98_A</t>
        </is>
      </c>
      <c r="B86" t="inlineStr">
        <is>
          <t>ZEN-THW 345KV</t>
        </is>
      </c>
      <c r="C86" t="inlineStr">
        <is>
          <t>Low</t>
        </is>
      </c>
      <c r="D86" t="inlineStr">
        <is>
          <t>ZEN → THW</t>
        </is>
      </c>
      <c r="E86" t="n">
        <v>66</v>
      </c>
    </row>
  </sheetData>
  <autoFilter ref="A1:G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9"/>
  <sheetViews>
    <sheetView tabSelected="1" workbookViewId="0">
      <selection activeCell="U16" sqref="U16"/>
    </sheetView>
  </sheetViews>
  <sheetFormatPr baseColWidth="8" defaultRowHeight="15"/>
  <cols>
    <col width="28.5703125" bestFit="1" customWidth="1" style="111" min="1" max="1"/>
    <col width="7.5703125" bestFit="1" customWidth="1" style="111" min="2" max="2"/>
    <col width="5.28515625" bestFit="1" customWidth="1" style="111" min="3" max="3"/>
    <col width="22.42578125" bestFit="1" customWidth="1" style="111" min="6" max="6"/>
    <col width="11.42578125" bestFit="1" customWidth="1" style="111" min="7" max="8"/>
    <col width="4" bestFit="1" customWidth="1" style="111" min="9" max="9"/>
    <col width="15" bestFit="1" customWidth="1" style="111" min="10" max="10"/>
    <col width="10" bestFit="1" customWidth="1" style="111" min="11" max="11"/>
    <col width="14.42578125" bestFit="1" customWidth="1" style="111" min="12" max="12"/>
    <col width="13.85546875" bestFit="1" customWidth="1" style="111" min="13" max="13"/>
    <col width="47.5703125" bestFit="1" customWidth="1" style="111" min="14" max="14"/>
  </cols>
  <sheetData>
    <row r="1">
      <c r="A1" s="129" t="inlineStr">
        <is>
          <t>Playbook Line</t>
        </is>
      </c>
      <c r="B1" s="129" t="inlineStr">
        <is>
          <t>Priority</t>
        </is>
      </c>
      <c r="C1" s="129" t="inlineStr">
        <is>
          <t>Rank</t>
        </is>
      </c>
      <c r="D1" s="129" t="inlineStr">
        <is>
          <t>Confidence</t>
        </is>
      </c>
      <c r="E1" s="129" t="inlineStr">
        <is>
          <t>Score</t>
        </is>
      </c>
      <c r="F1" s="129" t="inlineStr">
        <is>
          <t>ERCOT Constraint Name</t>
        </is>
      </c>
      <c r="G1" s="129" t="inlineStr">
        <is>
          <t>From</t>
        </is>
      </c>
      <c r="H1" s="129" t="inlineStr">
        <is>
          <t>To</t>
        </is>
      </c>
      <c r="I1" s="129" t="inlineStr">
        <is>
          <t>kV</t>
        </is>
      </c>
      <c r="J1" s="129" t="inlineStr">
        <is>
          <t>Intervals Bound</t>
        </is>
      </c>
      <c r="K1" s="129" t="inlineStr">
        <is>
          <t>Days Seen</t>
        </is>
      </c>
      <c r="L1" s="129" t="inlineStr">
        <is>
          <t>Total Shadow $</t>
        </is>
      </c>
      <c r="M1" s="129" t="inlineStr">
        <is>
          <t>Max Shadow $</t>
        </is>
      </c>
      <c r="N1" s="129" t="inlineStr">
        <is>
          <t>Contingencies Seen</t>
        </is>
      </c>
    </row>
    <row r="2">
      <c r="A2" s="191" t="inlineStr">
        <is>
          <t>TWINBU-HARGROVE 138KV</t>
        </is>
      </c>
      <c r="B2" s="190" t="inlineStr">
        <is>
          <t>Active</t>
        </is>
      </c>
      <c r="C2" s="190" t="n">
        <v>1</v>
      </c>
      <c r="D2" s="192" t="inlineStr">
        <is>
          <t>High</t>
        </is>
      </c>
      <c r="E2" s="190" t="n">
        <v>95</v>
      </c>
      <c r="F2" s="190" t="inlineStr">
        <is>
          <t>HARGRO_TWINBU1_1</t>
        </is>
      </c>
      <c r="G2" s="190" t="inlineStr">
        <is>
          <t>TWINBU</t>
        </is>
      </c>
      <c r="H2" s="190" t="inlineStr">
        <is>
          <t>HARGROVE</t>
        </is>
      </c>
      <c r="I2" s="190" t="n">
        <v>138</v>
      </c>
      <c r="J2" s="190" t="n">
        <v>1364</v>
      </c>
      <c r="K2" s="190" t="n">
        <v>24</v>
      </c>
      <c r="L2" s="190" t="n">
        <v>266838.33</v>
      </c>
      <c r="M2" s="190" t="n">
        <v>3500</v>
      </c>
      <c r="N2" s="190" t="inlineStr">
        <is>
          <t>DBAKCED5, DSGTSCH5, DTWLCED5</t>
        </is>
      </c>
    </row>
    <row r="3">
      <c r="A3" s="191" t="inlineStr">
        <is>
          <t>FORTMA-YELWJCKT 138KV</t>
        </is>
      </c>
      <c r="B3" s="190" t="inlineStr">
        <is>
          <t>Active</t>
        </is>
      </c>
      <c r="C3" s="190" t="n">
        <v>1</v>
      </c>
      <c r="D3" s="192" t="inlineStr">
        <is>
          <t>High</t>
        </is>
      </c>
      <c r="E3" s="190" t="n">
        <v>95</v>
      </c>
      <c r="F3" s="190" t="inlineStr">
        <is>
          <t>FORTMA_YELWJC1_1</t>
        </is>
      </c>
      <c r="G3" s="190" t="inlineStr">
        <is>
          <t>FORTMA</t>
        </is>
      </c>
      <c r="H3" s="190" t="inlineStr">
        <is>
          <t>YELWJCKT</t>
        </is>
      </c>
      <c r="I3" s="190" t="n">
        <v>138</v>
      </c>
      <c r="J3" s="190" t="n">
        <v>1050</v>
      </c>
      <c r="K3" s="190" t="n">
        <v>14</v>
      </c>
      <c r="L3" s="190" t="n">
        <v>630251.49</v>
      </c>
      <c r="M3" s="190" t="n">
        <v>3500</v>
      </c>
      <c r="N3" s="190" t="inlineStr">
        <is>
          <t>DBAKCED5, DBIGKEN5, DCPSES12, SBIGOR45</t>
        </is>
      </c>
    </row>
    <row r="4">
      <c r="A4" s="190" t="n"/>
      <c r="B4" s="190" t="n"/>
      <c r="C4" s="190" t="n">
        <v>2</v>
      </c>
      <c r="D4" s="192" t="inlineStr">
        <is>
          <t>High</t>
        </is>
      </c>
      <c r="E4" s="190" t="n">
        <v>85</v>
      </c>
      <c r="F4" s="190" t="inlineStr">
        <is>
          <t>FORTMA_YELWJC1_1</t>
        </is>
      </c>
      <c r="G4" s="190" t="inlineStr">
        <is>
          <t>YELWJCKT</t>
        </is>
      </c>
      <c r="H4" s="190" t="inlineStr">
        <is>
          <t>FORTMA</t>
        </is>
      </c>
      <c r="I4" s="190" t="n">
        <v>138</v>
      </c>
      <c r="J4" s="190" t="n">
        <v>3856</v>
      </c>
      <c r="K4" s="190" t="n">
        <v>53</v>
      </c>
      <c r="L4" s="190" t="n">
        <v>184568.51</v>
      </c>
      <c r="M4" s="190" t="n">
        <v>789.7</v>
      </c>
      <c r="N4" s="190" t="inlineStr">
        <is>
          <t>DBIGKEN5, DBIGSCH5, DBUCRGP5, SBIGOR45</t>
        </is>
      </c>
    </row>
    <row r="5">
      <c r="A5" s="191" t="inlineStr">
        <is>
          <t>TREADWEL-YELWJCKT 138KV</t>
        </is>
      </c>
      <c r="B5" s="190" t="inlineStr">
        <is>
          <t>Active</t>
        </is>
      </c>
      <c r="C5" s="190" t="n">
        <v>1</v>
      </c>
      <c r="D5" s="192" t="inlineStr">
        <is>
          <t>High</t>
        </is>
      </c>
      <c r="E5" s="190" t="n">
        <v>95</v>
      </c>
      <c r="F5" s="190" t="inlineStr">
        <is>
          <t>TREADW_YELWJC1_1</t>
        </is>
      </c>
      <c r="G5" s="190" t="inlineStr">
        <is>
          <t>TREADWEL</t>
        </is>
      </c>
      <c r="H5" s="190" t="inlineStr">
        <is>
          <t>YELWJCKT</t>
        </is>
      </c>
      <c r="I5" s="190" t="n">
        <v>138</v>
      </c>
      <c r="J5" s="190" t="n">
        <v>7778</v>
      </c>
      <c r="K5" s="190" t="n">
        <v>68</v>
      </c>
      <c r="L5" s="190" t="n">
        <v>822904.84</v>
      </c>
      <c r="M5" s="190" t="n">
        <v>1300.91</v>
      </c>
      <c r="N5" s="190" t="inlineStr">
        <is>
          <t>DBIGKEN5, DBIGSCH5, DBUCRGP5, SBIGOR45</t>
        </is>
      </c>
    </row>
    <row r="6">
      <c r="A6" s="191" t="inlineStr">
        <is>
          <t>WESTEX</t>
        </is>
      </c>
      <c r="B6" s="190" t="inlineStr">
        <is>
          <t>Active</t>
        </is>
      </c>
      <c r="C6" s="190" t="n">
        <v>1</v>
      </c>
      <c r="D6" s="192" t="inlineStr">
        <is>
          <t>High</t>
        </is>
      </c>
      <c r="E6" s="190" t="n">
        <v>95</v>
      </c>
      <c r="F6" s="190" t="inlineStr">
        <is>
          <t>WESTEX</t>
        </is>
      </c>
      <c r="G6" s="190" t="n"/>
      <c r="H6" s="190" t="n"/>
      <c r="I6" s="190" t="n">
        <v>0</v>
      </c>
      <c r="J6" s="190" t="n">
        <v>10137</v>
      </c>
      <c r="K6" s="190" t="n">
        <v>72</v>
      </c>
      <c r="L6" s="190" t="n">
        <v>72789.17999999999</v>
      </c>
      <c r="M6" s="190" t="n">
        <v>47.8</v>
      </c>
      <c r="N6" s="190" t="inlineStr">
        <is>
          <t>BASE CASE</t>
        </is>
      </c>
    </row>
    <row r="7">
      <c r="A7" s="191" t="inlineStr">
        <is>
          <t>LNGSW-PRLSW 345KV</t>
        </is>
      </c>
      <c r="B7" s="190" t="inlineStr">
        <is>
          <t>Active</t>
        </is>
      </c>
      <c r="C7" s="190" t="n">
        <v>1</v>
      </c>
      <c r="D7" s="192" t="inlineStr">
        <is>
          <t>High</t>
        </is>
      </c>
      <c r="E7" s="190" t="n">
        <v>95</v>
      </c>
      <c r="F7" s="190" t="inlineStr">
        <is>
          <t>6965__A</t>
        </is>
      </c>
      <c r="G7" s="190" t="inlineStr">
        <is>
          <t>LNGSW</t>
        </is>
      </c>
      <c r="H7" s="190" t="inlineStr">
        <is>
          <t>PRLSW</t>
        </is>
      </c>
      <c r="I7" s="190" t="n">
        <v>345</v>
      </c>
      <c r="J7" s="190" t="n">
        <v>4835</v>
      </c>
      <c r="K7" s="190" t="n">
        <v>43</v>
      </c>
      <c r="L7" s="190" t="n">
        <v>138161.19</v>
      </c>
      <c r="M7" s="190" t="n">
        <v>284.8</v>
      </c>
      <c r="N7" s="190" t="inlineStr">
        <is>
          <t>DBAKCED5, DBEANOR5, DSLKNOR5, MCATPRL5</t>
        </is>
      </c>
    </row>
    <row r="8">
      <c r="A8" s="191" t="inlineStr">
        <is>
          <t>E_PASP</t>
        </is>
      </c>
      <c r="B8" s="190" t="inlineStr">
        <is>
          <t>Active</t>
        </is>
      </c>
      <c r="C8" s="190" t="n">
        <v>1</v>
      </c>
      <c r="D8" s="192" t="inlineStr">
        <is>
          <t>High</t>
        </is>
      </c>
      <c r="E8" s="190" t="n">
        <v>95</v>
      </c>
      <c r="F8" s="190" t="inlineStr">
        <is>
          <t>E_PASP</t>
        </is>
      </c>
      <c r="G8" s="190" t="n"/>
      <c r="H8" s="190" t="n"/>
      <c r="I8" s="190" t="n">
        <v>0</v>
      </c>
      <c r="J8" s="190" t="n">
        <v>6488</v>
      </c>
      <c r="K8" s="190" t="n">
        <v>112</v>
      </c>
      <c r="L8" s="190" t="n">
        <v>75710.64</v>
      </c>
      <c r="M8" s="190" t="n">
        <v>1526.29</v>
      </c>
      <c r="N8" s="190" t="inlineStr">
        <is>
          <t>BASE CASE</t>
        </is>
      </c>
    </row>
    <row r="9">
      <c r="A9" s="191" t="inlineStr">
        <is>
          <t>PALOUSE-WOLFCAMP 138KV</t>
        </is>
      </c>
      <c r="B9" s="190" t="inlineStr">
        <is>
          <t>Active</t>
        </is>
      </c>
      <c r="C9" s="190" t="n">
        <v>1</v>
      </c>
      <c r="D9" s="192" t="inlineStr">
        <is>
          <t>High</t>
        </is>
      </c>
      <c r="E9" s="190" t="n">
        <v>95</v>
      </c>
      <c r="F9" s="190" t="inlineStr">
        <is>
          <t>PALOUS_WOLFCA1_1</t>
        </is>
      </c>
      <c r="G9" s="190" t="inlineStr">
        <is>
          <t>PALOUSE</t>
        </is>
      </c>
      <c r="H9" s="190" t="inlineStr">
        <is>
          <t>WOLFCAMP</t>
        </is>
      </c>
      <c r="I9" s="190" t="n">
        <v>138</v>
      </c>
      <c r="J9" s="190" t="n">
        <v>5528</v>
      </c>
      <c r="K9" s="190" t="n">
        <v>75</v>
      </c>
      <c r="L9" s="190" t="n">
        <v>521858.15</v>
      </c>
      <c r="M9" s="190" t="n">
        <v>843.11</v>
      </c>
      <c r="N9" s="190" t="inlineStr">
        <is>
          <t>DBIGKEN5, DBIGSCH5, DTWLCED5, SCROPAL8</t>
        </is>
      </c>
    </row>
    <row r="10">
      <c r="A10" s="191" t="inlineStr">
        <is>
          <t>PILONCIL-NLARSW 138KV</t>
        </is>
      </c>
      <c r="B10" s="190" t="inlineStr">
        <is>
          <t>Active</t>
        </is>
      </c>
      <c r="C10" s="190" t="n">
        <v>1</v>
      </c>
      <c r="D10" s="192" t="inlineStr">
        <is>
          <t>High</t>
        </is>
      </c>
      <c r="E10" s="190" t="n">
        <v>95</v>
      </c>
      <c r="F10" s="190" t="inlineStr">
        <is>
          <t>NLARSW_PILONC1_1</t>
        </is>
      </c>
      <c r="G10" s="190" t="inlineStr">
        <is>
          <t>PILONCIL</t>
        </is>
      </c>
      <c r="H10" s="190" t="inlineStr">
        <is>
          <t>NLARSW</t>
        </is>
      </c>
      <c r="I10" s="190" t="n">
        <v>138</v>
      </c>
      <c r="J10" s="190" t="n">
        <v>1384</v>
      </c>
      <c r="K10" s="190" t="n">
        <v>24</v>
      </c>
      <c r="L10" s="190" t="n">
        <v>215297.11</v>
      </c>
      <c r="M10" s="190" t="n">
        <v>1460.81</v>
      </c>
      <c r="N10" s="190" t="inlineStr">
        <is>
          <t>DFOAVLO5, DLOFOAV5, MLOFOAV5</t>
        </is>
      </c>
    </row>
    <row r="11">
      <c r="A11" s="190" t="n"/>
      <c r="B11" s="190" t="n"/>
      <c r="C11" s="190" t="n">
        <v>2</v>
      </c>
      <c r="D11" s="180" t="inlineStr">
        <is>
          <t>Medium</t>
        </is>
      </c>
      <c r="E11" s="190" t="n">
        <v>75</v>
      </c>
      <c r="F11" s="190" t="inlineStr">
        <is>
          <t>NLARSW_PILONC1_1</t>
        </is>
      </c>
      <c r="G11" s="190" t="inlineStr">
        <is>
          <t>NLARSW</t>
        </is>
      </c>
      <c r="H11" s="190" t="inlineStr">
        <is>
          <t>PILONCIL</t>
        </is>
      </c>
      <c r="I11" s="190" t="n">
        <v>138</v>
      </c>
      <c r="J11" s="190" t="n">
        <v>6502</v>
      </c>
      <c r="K11" s="190" t="n">
        <v>91</v>
      </c>
      <c r="L11" s="190" t="n">
        <v>917875.78</v>
      </c>
      <c r="M11" s="190" t="n">
        <v>3194.96</v>
      </c>
      <c r="N11" s="190" t="inlineStr">
        <is>
          <t>DFOAVLO5, DLOFOAV5, MLOFOAV5</t>
        </is>
      </c>
    </row>
    <row r="12">
      <c r="A12" s="191" t="inlineStr">
        <is>
          <t>NLARSW-PILONCIL 138KV</t>
        </is>
      </c>
      <c r="B12" s="190" t="inlineStr">
        <is>
          <t>Active</t>
        </is>
      </c>
      <c r="C12" s="190" t="n">
        <v>1</v>
      </c>
      <c r="D12" s="192" t="inlineStr">
        <is>
          <t>High</t>
        </is>
      </c>
      <c r="E12" s="190" t="n">
        <v>95</v>
      </c>
      <c r="F12" s="190" t="inlineStr">
        <is>
          <t>NLARSW_PILONC1_1</t>
        </is>
      </c>
      <c r="G12" s="190" t="inlineStr">
        <is>
          <t>NLARSW</t>
        </is>
      </c>
      <c r="H12" s="190" t="inlineStr">
        <is>
          <t>PILONCIL</t>
        </is>
      </c>
      <c r="I12" s="190" t="n">
        <v>138</v>
      </c>
      <c r="J12" s="190" t="n">
        <v>6502</v>
      </c>
      <c r="K12" s="190" t="n">
        <v>91</v>
      </c>
      <c r="L12" s="190" t="n">
        <v>917875.78</v>
      </c>
      <c r="M12" s="190" t="n">
        <v>3194.96</v>
      </c>
      <c r="N12" s="190" t="inlineStr">
        <is>
          <t>DFOAVLO5, DLOFOAV5, MLOFOAV5</t>
        </is>
      </c>
    </row>
    <row r="13">
      <c r="A13" s="190" t="n"/>
      <c r="B13" s="190" t="n"/>
      <c r="C13" s="190" t="n">
        <v>2</v>
      </c>
      <c r="D13" s="192" t="inlineStr">
        <is>
          <t>High</t>
        </is>
      </c>
      <c r="E13" s="190" t="n">
        <v>85</v>
      </c>
      <c r="F13" s="190" t="inlineStr">
        <is>
          <t>NLARSW_PILONC1_1</t>
        </is>
      </c>
      <c r="G13" s="190" t="inlineStr">
        <is>
          <t>PILONCIL</t>
        </is>
      </c>
      <c r="H13" s="190" t="inlineStr">
        <is>
          <t>NLARSW</t>
        </is>
      </c>
      <c r="I13" s="190" t="n">
        <v>138</v>
      </c>
      <c r="J13" s="190" t="n">
        <v>1384</v>
      </c>
      <c r="K13" s="190" t="n">
        <v>24</v>
      </c>
      <c r="L13" s="190" t="n">
        <v>215297.11</v>
      </c>
      <c r="M13" s="190" t="n">
        <v>1460.81</v>
      </c>
      <c r="N13" s="190" t="inlineStr">
        <is>
          <t>DFOAVLO5, DLOFOAV5, MLOFOAV5</t>
        </is>
      </c>
    </row>
    <row r="14">
      <c r="A14" s="191" t="inlineStr">
        <is>
          <t>MGSES-CATSW 345KV</t>
        </is>
      </c>
      <c r="B14" s="190" t="inlineStr">
        <is>
          <t>Active</t>
        </is>
      </c>
      <c r="C14" s="190" t="n">
        <v>1</v>
      </c>
      <c r="D14" s="192" t="inlineStr">
        <is>
          <t>High</t>
        </is>
      </c>
      <c r="E14" s="190" t="n">
        <v>95</v>
      </c>
      <c r="F14" s="190" t="inlineStr">
        <is>
          <t>6945__A</t>
        </is>
      </c>
      <c r="G14" s="190" t="inlineStr">
        <is>
          <t>MGSES</t>
        </is>
      </c>
      <c r="H14" s="190" t="inlineStr">
        <is>
          <t>CATSW</t>
        </is>
      </c>
      <c r="I14" s="190" t="n">
        <v>345</v>
      </c>
      <c r="J14" s="190" t="n">
        <v>8262</v>
      </c>
      <c r="K14" s="190" t="n">
        <v>97</v>
      </c>
      <c r="L14" s="190" t="n">
        <v>394641.11</v>
      </c>
      <c r="M14" s="190" t="n">
        <v>2828.99</v>
      </c>
      <c r="N14" s="190" t="inlineStr">
        <is>
          <t>DRGRPRM5, DSWETKW5, MRGRMGS5, SRGRMGS5</t>
        </is>
      </c>
    </row>
    <row r="15">
      <c r="A15" s="191" t="inlineStr">
        <is>
          <t>CRDSW-OLNEY 69KV</t>
        </is>
      </c>
      <c r="B15" s="190" t="inlineStr">
        <is>
          <t>Active</t>
        </is>
      </c>
      <c r="C15" s="190" t="n">
        <v>1</v>
      </c>
      <c r="D15" s="192" t="inlineStr">
        <is>
          <t>High</t>
        </is>
      </c>
      <c r="E15" s="190" t="n">
        <v>95</v>
      </c>
      <c r="F15" s="190" t="inlineStr">
        <is>
          <t>6830__B</t>
        </is>
      </c>
      <c r="G15" s="190" t="inlineStr">
        <is>
          <t>CRDSW</t>
        </is>
      </c>
      <c r="H15" s="190" t="inlineStr">
        <is>
          <t>OLNEY</t>
        </is>
      </c>
      <c r="I15" s="190" t="n">
        <v>69</v>
      </c>
      <c r="J15" s="190" t="n">
        <v>9606</v>
      </c>
      <c r="K15" s="190" t="n">
        <v>85</v>
      </c>
      <c r="L15" s="190" t="n">
        <v>1431293.48</v>
      </c>
      <c r="M15" s="190" t="n">
        <v>2800</v>
      </c>
      <c r="N15" s="190" t="inlineStr">
        <is>
          <t>DGRMGRS8, SGRMGRS8</t>
        </is>
      </c>
    </row>
    <row r="16">
      <c r="A16" s="191" t="inlineStr">
        <is>
          <t>STP-WAP 345KV</t>
        </is>
      </c>
      <c r="B16" s="190" t="inlineStr">
        <is>
          <t>Active</t>
        </is>
      </c>
      <c r="C16" s="190" t="n">
        <v>1</v>
      </c>
      <c r="D16" s="192" t="inlineStr">
        <is>
          <t>High</t>
        </is>
      </c>
      <c r="E16" s="190" t="n">
        <v>95</v>
      </c>
      <c r="F16" s="190" t="inlineStr">
        <is>
          <t>STPWAP39_1</t>
        </is>
      </c>
      <c r="G16" s="190" t="inlineStr">
        <is>
          <t>STP</t>
        </is>
      </c>
      <c r="H16" s="190" t="inlineStr">
        <is>
          <t>WAP</t>
        </is>
      </c>
      <c r="I16" s="190" t="n">
        <v>345</v>
      </c>
      <c r="J16" s="190" t="n">
        <v>11681</v>
      </c>
      <c r="K16" s="190" t="n">
        <v>118</v>
      </c>
      <c r="L16" s="190" t="n">
        <v>726868.88</v>
      </c>
      <c r="M16" s="190" t="n">
        <v>617.58</v>
      </c>
      <c r="N16" s="190" t="inlineStr">
        <is>
          <t>DBLBYWF5, DHJWFCK5, DOASSEB5, DSTPREF5</t>
        </is>
      </c>
    </row>
    <row r="17">
      <c r="A17" s="191" t="inlineStr">
        <is>
          <t>ESCONDID-GANSO 138KV</t>
        </is>
      </c>
      <c r="B17" s="190" t="inlineStr">
        <is>
          <t>Active</t>
        </is>
      </c>
      <c r="C17" s="190" t="n">
        <v>1</v>
      </c>
      <c r="D17" s="192" t="inlineStr">
        <is>
          <t>High</t>
        </is>
      </c>
      <c r="E17" s="190" t="n">
        <v>95</v>
      </c>
      <c r="F17" s="190" t="inlineStr">
        <is>
          <t>ESCOND_GANSO1_1</t>
        </is>
      </c>
      <c r="G17" s="190" t="inlineStr">
        <is>
          <t>ESCONDID</t>
        </is>
      </c>
      <c r="H17" s="190" t="inlineStr">
        <is>
          <t>GANSO</t>
        </is>
      </c>
      <c r="I17" s="190" t="n">
        <v>138</v>
      </c>
      <c r="J17" s="190" t="n">
        <v>2698</v>
      </c>
      <c r="K17" s="190" t="n">
        <v>33</v>
      </c>
      <c r="L17" s="190" t="n">
        <v>123765.76</v>
      </c>
      <c r="M17" s="190" t="n">
        <v>1909.91</v>
      </c>
      <c r="N17" s="190" t="inlineStr">
        <is>
          <t>SBRAHAM8, SBRAPIN8</t>
        </is>
      </c>
    </row>
    <row r="18">
      <c r="A18" s="190" t="n"/>
      <c r="B18" s="190" t="n"/>
      <c r="C18" s="190" t="n">
        <v>2</v>
      </c>
      <c r="D18" s="192" t="inlineStr">
        <is>
          <t>High</t>
        </is>
      </c>
      <c r="E18" s="190" t="n">
        <v>85</v>
      </c>
      <c r="F18" s="190" t="inlineStr">
        <is>
          <t>ESCOND_GANSO1_1</t>
        </is>
      </c>
      <c r="G18" s="190" t="inlineStr">
        <is>
          <t>GANSO</t>
        </is>
      </c>
      <c r="H18" s="190" t="inlineStr">
        <is>
          <t>ESCONDID</t>
        </is>
      </c>
      <c r="I18" s="190" t="n">
        <v>138</v>
      </c>
      <c r="J18" s="190" t="n">
        <v>443</v>
      </c>
      <c r="K18" s="190" t="n">
        <v>22</v>
      </c>
      <c r="L18" s="190" t="n">
        <v>1275.6</v>
      </c>
      <c r="M18" s="190" t="n">
        <v>73.34</v>
      </c>
      <c r="N18" s="190" t="inlineStr">
        <is>
          <t>SBRAHAM8, SBRAPIN8</t>
        </is>
      </c>
    </row>
    <row r="19">
      <c r="A19" s="191" t="inlineStr">
        <is>
          <t>YELWJCKT-FORTMA 138KV</t>
        </is>
      </c>
      <c r="B19" s="190" t="inlineStr">
        <is>
          <t>Active</t>
        </is>
      </c>
      <c r="C19" s="190" t="n">
        <v>1</v>
      </c>
      <c r="D19" s="192" t="inlineStr">
        <is>
          <t>High</t>
        </is>
      </c>
      <c r="E19" s="190" t="n">
        <v>95</v>
      </c>
      <c r="F19" s="190" t="inlineStr">
        <is>
          <t>FORTMA_YELWJC1_1</t>
        </is>
      </c>
      <c r="G19" s="190" t="inlineStr">
        <is>
          <t>YELWJCKT</t>
        </is>
      </c>
      <c r="H19" s="190" t="inlineStr">
        <is>
          <t>FORTMA</t>
        </is>
      </c>
      <c r="I19" s="190" t="n">
        <v>138</v>
      </c>
      <c r="J19" s="190" t="n">
        <v>3856</v>
      </c>
      <c r="K19" s="190" t="n">
        <v>53</v>
      </c>
      <c r="L19" s="190" t="n">
        <v>184568.51</v>
      </c>
      <c r="M19" s="190" t="n">
        <v>789.7</v>
      </c>
      <c r="N19" s="190" t="inlineStr">
        <is>
          <t>DBIGKEN5, DBIGSCH5, DBUCRGP5, SBIGOR45</t>
        </is>
      </c>
    </row>
    <row r="20">
      <c r="A20" s="190" t="n"/>
      <c r="B20" s="190" t="n"/>
      <c r="C20" s="190" t="n">
        <v>2</v>
      </c>
      <c r="D20" s="180" t="inlineStr">
        <is>
          <t>Medium</t>
        </is>
      </c>
      <c r="E20" s="190" t="n">
        <v>75</v>
      </c>
      <c r="F20" s="190" t="inlineStr">
        <is>
          <t>FORTMA_YELWJC1_1</t>
        </is>
      </c>
      <c r="G20" s="190" t="inlineStr">
        <is>
          <t>FORTMA</t>
        </is>
      </c>
      <c r="H20" s="190" t="inlineStr">
        <is>
          <t>YELWJCKT</t>
        </is>
      </c>
      <c r="I20" s="190" t="n">
        <v>138</v>
      </c>
      <c r="J20" s="190" t="n">
        <v>1050</v>
      </c>
      <c r="K20" s="190" t="n">
        <v>14</v>
      </c>
      <c r="L20" s="190" t="n">
        <v>630251.49</v>
      </c>
      <c r="M20" s="190" t="n">
        <v>3500</v>
      </c>
      <c r="N20" s="190" t="inlineStr">
        <is>
          <t>DBAKCED5, DBIGKEN5, DCPSES12, SBIGOR45</t>
        </is>
      </c>
    </row>
    <row r="21">
      <c r="A21" s="191" t="inlineStr">
        <is>
          <t>CATARINA-ASHERTON 138KV</t>
        </is>
      </c>
      <c r="B21" s="190" t="inlineStr">
        <is>
          <t>Watch</t>
        </is>
      </c>
      <c r="C21" s="190" t="n">
        <v>1</v>
      </c>
      <c r="D21" s="192" t="inlineStr">
        <is>
          <t>High</t>
        </is>
      </c>
      <c r="E21" s="190" t="n">
        <v>95</v>
      </c>
      <c r="F21" s="190" t="inlineStr">
        <is>
          <t>ASHERT_CATARI1_1</t>
        </is>
      </c>
      <c r="G21" s="190" t="inlineStr">
        <is>
          <t>CATARINA</t>
        </is>
      </c>
      <c r="H21" s="190" t="inlineStr">
        <is>
          <t>ASHERTON</t>
        </is>
      </c>
      <c r="I21" s="190" t="n">
        <v>138</v>
      </c>
      <c r="J21" s="190" t="n">
        <v>1565</v>
      </c>
      <c r="K21" s="190" t="n">
        <v>44</v>
      </c>
      <c r="L21" s="190" t="n">
        <v>47907.23</v>
      </c>
      <c r="M21" s="190" t="n">
        <v>2759.27</v>
      </c>
      <c r="N21" s="190" t="inlineStr">
        <is>
          <t>DFOAVLO5, DLOFOAV5, MLOFOAV5</t>
        </is>
      </c>
    </row>
    <row r="22">
      <c r="A22" s="190" t="n"/>
      <c r="B22" s="190" t="n"/>
      <c r="C22" s="190" t="n">
        <v>2</v>
      </c>
      <c r="D22" s="180" t="inlineStr">
        <is>
          <t>Medium</t>
        </is>
      </c>
      <c r="E22" s="190" t="n">
        <v>75</v>
      </c>
      <c r="F22" s="190" t="inlineStr">
        <is>
          <t>ASHERT_CATARI1_1</t>
        </is>
      </c>
      <c r="G22" s="190" t="inlineStr">
        <is>
          <t>ASHERTON</t>
        </is>
      </c>
      <c r="H22" s="190" t="inlineStr">
        <is>
          <t>CATARINA</t>
        </is>
      </c>
      <c r="I22" s="190" t="n">
        <v>138</v>
      </c>
      <c r="J22" s="190" t="n">
        <v>2865</v>
      </c>
      <c r="K22" s="190" t="n">
        <v>51</v>
      </c>
      <c r="L22" s="190" t="n">
        <v>116081.87</v>
      </c>
      <c r="M22" s="190" t="n">
        <v>479.25</v>
      </c>
      <c r="N22" s="190" t="inlineStr">
        <is>
          <t>DFOAVLO5, DLOFOAV5, MLOFOAV5, SLARDUS8</t>
        </is>
      </c>
    </row>
    <row r="23">
      <c r="A23" s="191" t="inlineStr">
        <is>
          <t>ASHERTON-CATARINA 138KV</t>
        </is>
      </c>
      <c r="B23" s="190" t="inlineStr">
        <is>
          <t>Watch</t>
        </is>
      </c>
      <c r="C23" s="190" t="n">
        <v>1</v>
      </c>
      <c r="D23" s="192" t="inlineStr">
        <is>
          <t>High</t>
        </is>
      </c>
      <c r="E23" s="190" t="n">
        <v>95</v>
      </c>
      <c r="F23" s="190" t="inlineStr">
        <is>
          <t>ASHERT_CATARI1_1</t>
        </is>
      </c>
      <c r="G23" s="190" t="inlineStr">
        <is>
          <t>ASHERTON</t>
        </is>
      </c>
      <c r="H23" s="190" t="inlineStr">
        <is>
          <t>CATARINA</t>
        </is>
      </c>
      <c r="I23" s="190" t="n">
        <v>138</v>
      </c>
      <c r="J23" s="190" t="n">
        <v>2865</v>
      </c>
      <c r="K23" s="190" t="n">
        <v>51</v>
      </c>
      <c r="L23" s="190" t="n">
        <v>116081.87</v>
      </c>
      <c r="M23" s="190" t="n">
        <v>479.25</v>
      </c>
      <c r="N23" s="190" t="inlineStr">
        <is>
          <t>DFOAVLO5, DLOFOAV5, MLOFOAV5, SLARDUS8</t>
        </is>
      </c>
    </row>
    <row r="24">
      <c r="A24" s="190" t="n"/>
      <c r="B24" s="190" t="n"/>
      <c r="C24" s="190" t="n">
        <v>2</v>
      </c>
      <c r="D24" s="192" t="inlineStr">
        <is>
          <t>High</t>
        </is>
      </c>
      <c r="E24" s="190" t="n">
        <v>85</v>
      </c>
      <c r="F24" s="190" t="inlineStr">
        <is>
          <t>ASHERT_CATARI1_1</t>
        </is>
      </c>
      <c r="G24" s="190" t="inlineStr">
        <is>
          <t>CATARINA</t>
        </is>
      </c>
      <c r="H24" s="190" t="inlineStr">
        <is>
          <t>ASHERTON</t>
        </is>
      </c>
      <c r="I24" s="190" t="n">
        <v>138</v>
      </c>
      <c r="J24" s="190" t="n">
        <v>1565</v>
      </c>
      <c r="K24" s="190" t="n">
        <v>44</v>
      </c>
      <c r="L24" s="190" t="n">
        <v>47907.23</v>
      </c>
      <c r="M24" s="190" t="n">
        <v>2759.27</v>
      </c>
      <c r="N24" s="190" t="inlineStr">
        <is>
          <t>DFOAVLO5, DLOFOAV5, MLOFOAV5</t>
        </is>
      </c>
    </row>
    <row r="25">
      <c r="A25" s="191" t="inlineStr">
        <is>
          <t>MRVLY-ESTLD 69KV</t>
        </is>
      </c>
      <c r="B25" s="190" t="inlineStr">
        <is>
          <t>Watch</t>
        </is>
      </c>
      <c r="C25" s="190" t="n">
        <v>1</v>
      </c>
      <c r="D25" s="192" t="inlineStr">
        <is>
          <t>High</t>
        </is>
      </c>
      <c r="E25" s="190" t="n">
        <v>95</v>
      </c>
      <c r="F25" s="190" t="inlineStr">
        <is>
          <t>6635__G</t>
        </is>
      </c>
      <c r="G25" s="190" t="inlineStr">
        <is>
          <t>MRVLY</t>
        </is>
      </c>
      <c r="H25" s="190" t="inlineStr">
        <is>
          <t>ESTLD</t>
        </is>
      </c>
      <c r="I25" s="190" t="n">
        <v>69</v>
      </c>
      <c r="J25" s="190" t="n">
        <v>1949</v>
      </c>
      <c r="K25" s="190" t="n">
        <v>34</v>
      </c>
      <c r="L25" s="190" t="n">
        <v>466893.26</v>
      </c>
      <c r="M25" s="190" t="n">
        <v>2800</v>
      </c>
      <c r="N25" s="190" t="inlineStr">
        <is>
          <t>DABPAB98, DLNCSWE5, DPAIMUR8, SCLCGTN8</t>
        </is>
      </c>
    </row>
    <row r="26">
      <c r="A26" s="191" t="inlineStr">
        <is>
          <t>LPLMK-LPLNE 115KV</t>
        </is>
      </c>
      <c r="B26" s="190" t="inlineStr">
        <is>
          <t>Watch</t>
        </is>
      </c>
      <c r="C26" s="190" t="n">
        <v>1</v>
      </c>
      <c r="D26" s="192" t="inlineStr">
        <is>
          <t>High</t>
        </is>
      </c>
      <c r="E26" s="190" t="n">
        <v>95</v>
      </c>
      <c r="F26" s="190" t="inlineStr">
        <is>
          <t>LPLMK_LPLNE_1</t>
        </is>
      </c>
      <c r="G26" s="190" t="inlineStr">
        <is>
          <t>LPLMK</t>
        </is>
      </c>
      <c r="H26" s="190" t="inlineStr">
        <is>
          <t>LPLNE</t>
        </is>
      </c>
      <c r="I26" s="190" t="n">
        <v>115</v>
      </c>
      <c r="J26" s="190" t="n">
        <v>5994</v>
      </c>
      <c r="K26" s="190" t="n">
        <v>97</v>
      </c>
      <c r="L26" s="190" t="n">
        <v>700064.54</v>
      </c>
      <c r="M26" s="190" t="n">
        <v>3313.15</v>
      </c>
      <c r="N26" s="190" t="inlineStr">
        <is>
          <t>SBWDDBM5</t>
        </is>
      </c>
    </row>
    <row r="27">
      <c r="A27" s="191" t="inlineStr">
        <is>
          <t>HONDOCK-DEVINESW 69KV</t>
        </is>
      </c>
      <c r="B27" s="190" t="inlineStr">
        <is>
          <t>Watch</t>
        </is>
      </c>
      <c r="C27" s="190" t="n">
        <v>1</v>
      </c>
      <c r="D27" s="192" t="inlineStr">
        <is>
          <t>High</t>
        </is>
      </c>
      <c r="E27" s="190" t="n">
        <v>95</v>
      </c>
      <c r="F27" s="190" t="inlineStr">
        <is>
          <t>HON_DEVI_1</t>
        </is>
      </c>
      <c r="G27" s="190" t="inlineStr">
        <is>
          <t>HONDOCK</t>
        </is>
      </c>
      <c r="H27" s="190" t="inlineStr">
        <is>
          <t>DEVINESW</t>
        </is>
      </c>
      <c r="I27" s="190" t="n">
        <v>69</v>
      </c>
      <c r="J27" s="190" t="n">
        <v>2431</v>
      </c>
      <c r="K27" s="190" t="n">
        <v>52</v>
      </c>
      <c r="L27" s="190" t="n">
        <v>404426</v>
      </c>
      <c r="M27" s="190" t="n">
        <v>2719.8</v>
      </c>
      <c r="N27" s="190" t="inlineStr">
        <is>
          <t>SHONF38</t>
        </is>
      </c>
    </row>
    <row r="28">
      <c r="A28" s="191" t="inlineStr">
        <is>
          <t>I_FW_N</t>
        </is>
      </c>
      <c r="B28" s="190" t="inlineStr">
        <is>
          <t>Watch</t>
        </is>
      </c>
      <c r="C28" s="190" t="n">
        <v>1</v>
      </c>
      <c r="D28" s="192" t="inlineStr">
        <is>
          <t>High</t>
        </is>
      </c>
      <c r="E28" s="190" t="n">
        <v>95</v>
      </c>
      <c r="F28" s="190" t="inlineStr">
        <is>
          <t>I_FW_N</t>
        </is>
      </c>
      <c r="G28" s="190" t="n"/>
      <c r="H28" s="190" t="n"/>
      <c r="I28" s="190" t="n">
        <v>0</v>
      </c>
      <c r="J28" s="190" t="n">
        <v>38</v>
      </c>
      <c r="K28" s="190" t="n">
        <v>3</v>
      </c>
      <c r="L28" s="190" t="n">
        <v>0</v>
      </c>
      <c r="M28" s="190" t="n">
        <v>0</v>
      </c>
      <c r="N28" s="190" t="inlineStr">
        <is>
          <t>BASE CASE</t>
        </is>
      </c>
    </row>
    <row r="29">
      <c r="A29" s="191" t="inlineStr">
        <is>
          <t>CARVER-TINSLEY 138KV</t>
        </is>
      </c>
      <c r="B29" s="190" t="inlineStr">
        <is>
          <t>Watch</t>
        </is>
      </c>
      <c r="C29" s="190" t="n">
        <v>1</v>
      </c>
      <c r="D29" s="192" t="inlineStr">
        <is>
          <t>High</t>
        </is>
      </c>
      <c r="E29" s="190" t="n">
        <v>95</v>
      </c>
      <c r="F29" s="190" t="inlineStr">
        <is>
          <t>CARVER_TINSLE1_1</t>
        </is>
      </c>
      <c r="G29" s="190" t="inlineStr">
        <is>
          <t>CARVER</t>
        </is>
      </c>
      <c r="H29" s="190" t="inlineStr">
        <is>
          <t>TINSLEY</t>
        </is>
      </c>
      <c r="I29" s="190" t="n">
        <v>138</v>
      </c>
      <c r="J29" s="190" t="n">
        <v>1076</v>
      </c>
      <c r="K29" s="190" t="n">
        <v>24</v>
      </c>
      <c r="L29" s="190" t="n">
        <v>16681.98</v>
      </c>
      <c r="M29" s="190" t="n">
        <v>299.44</v>
      </c>
      <c r="N29" s="190" t="inlineStr">
        <is>
          <t>DBIGKEN5, DFRIILL8, SCOMHA38, SILLFTL8</t>
        </is>
      </c>
    </row>
    <row r="30">
      <c r="A30" s="191" t="inlineStr">
        <is>
          <t>BIG_FOOT-PLEASANT 138KV</t>
        </is>
      </c>
      <c r="B30" s="190" t="inlineStr">
        <is>
          <t>Watch</t>
        </is>
      </c>
      <c r="C30" s="190" t="n">
        <v>1</v>
      </c>
      <c r="D30" s="192" t="inlineStr">
        <is>
          <t>High</t>
        </is>
      </c>
      <c r="E30" s="190" t="n">
        <v>95</v>
      </c>
      <c r="F30" s="190" t="inlineStr">
        <is>
          <t>BIG_FO_PLEASA1_1</t>
        </is>
      </c>
      <c r="G30" s="190" t="inlineStr">
        <is>
          <t>BIG_FOOT</t>
        </is>
      </c>
      <c r="H30" s="190" t="inlineStr">
        <is>
          <t>PLEASANT</t>
        </is>
      </c>
      <c r="I30" s="190" t="n">
        <v>138</v>
      </c>
      <c r="J30" s="190" t="n">
        <v>902</v>
      </c>
      <c r="K30" s="190" t="n">
        <v>26</v>
      </c>
      <c r="L30" s="190" t="n">
        <v>17337.9</v>
      </c>
      <c r="M30" s="190" t="n">
        <v>328.23</v>
      </c>
      <c r="N30" s="190" t="inlineStr">
        <is>
          <t>SE3X28, SHONMOO8</t>
        </is>
      </c>
    </row>
    <row r="31">
      <c r="A31" s="191" t="inlineStr">
        <is>
          <t>MASN-KATEMCY 69KV</t>
        </is>
      </c>
      <c r="B31" s="190" t="inlineStr">
        <is>
          <t>Watch</t>
        </is>
      </c>
      <c r="C31" s="190" t="n">
        <v>1</v>
      </c>
      <c r="D31" s="192" t="inlineStr">
        <is>
          <t>High</t>
        </is>
      </c>
      <c r="E31" s="190" t="n">
        <v>95</v>
      </c>
      <c r="F31" s="190" t="inlineStr">
        <is>
          <t>KATEMC_MASN1_1</t>
        </is>
      </c>
      <c r="G31" s="190" t="inlineStr">
        <is>
          <t>MASN</t>
        </is>
      </c>
      <c r="H31" s="190" t="inlineStr">
        <is>
          <t>KATEMCY</t>
        </is>
      </c>
      <c r="I31" s="190" t="n">
        <v>69</v>
      </c>
      <c r="J31" s="190" t="n">
        <v>18</v>
      </c>
      <c r="K31" s="190" t="n">
        <v>1</v>
      </c>
      <c r="L31" s="190" t="n">
        <v>2571.75</v>
      </c>
      <c r="M31" s="190" t="n">
        <v>185.4</v>
      </c>
      <c r="N31" s="190" t="inlineStr">
        <is>
          <t>STRECFL8, STREMAD8</t>
        </is>
      </c>
    </row>
    <row r="32">
      <c r="A32" s="191" t="inlineStr">
        <is>
          <t>KLNSW-HHSTH 138KV</t>
        </is>
      </c>
      <c r="B32" s="190" t="inlineStr">
        <is>
          <t>Watch</t>
        </is>
      </c>
      <c r="C32" s="190" t="n">
        <v>1</v>
      </c>
      <c r="D32" s="192" t="inlineStr">
        <is>
          <t>High</t>
        </is>
      </c>
      <c r="E32" s="190" t="n">
        <v>95</v>
      </c>
      <c r="F32" s="190" t="inlineStr">
        <is>
          <t>630__B</t>
        </is>
      </c>
      <c r="G32" s="190" t="inlineStr">
        <is>
          <t>KLNSW</t>
        </is>
      </c>
      <c r="H32" s="190" t="inlineStr">
        <is>
          <t>HHSTH</t>
        </is>
      </c>
      <c r="I32" s="190" t="n">
        <v>138</v>
      </c>
      <c r="J32" s="190" t="n">
        <v>871</v>
      </c>
      <c r="K32" s="190" t="n">
        <v>13</v>
      </c>
      <c r="L32" s="190" t="n">
        <v>73533.71000000001</v>
      </c>
      <c r="M32" s="190" t="n">
        <v>512.67</v>
      </c>
      <c r="N32" s="190" t="inlineStr">
        <is>
          <t>DSALKLN5</t>
        </is>
      </c>
    </row>
    <row r="33">
      <c r="A33" s="191" t="inlineStr">
        <is>
          <t>SAMSW-VENSW 345KV</t>
        </is>
      </c>
      <c r="B33" s="190" t="inlineStr">
        <is>
          <t>Watch</t>
        </is>
      </c>
      <c r="C33" s="190" t="n">
        <v>1</v>
      </c>
      <c r="D33" s="192" t="inlineStr">
        <is>
          <t>High</t>
        </is>
      </c>
      <c r="E33" s="190" t="n">
        <v>95</v>
      </c>
      <c r="F33" s="190" t="inlineStr">
        <is>
          <t>35055__A</t>
        </is>
      </c>
      <c r="G33" s="190" t="inlineStr">
        <is>
          <t>SAMSW</t>
        </is>
      </c>
      <c r="H33" s="190" t="inlineStr">
        <is>
          <t>VENSW</t>
        </is>
      </c>
      <c r="I33" s="190" t="n">
        <v>345</v>
      </c>
      <c r="J33" s="190" t="n">
        <v>5200</v>
      </c>
      <c r="K33" s="190" t="n">
        <v>71</v>
      </c>
      <c r="L33" s="190" t="n">
        <v>342868.31</v>
      </c>
      <c r="M33" s="190" t="n">
        <v>546.6799999999999</v>
      </c>
      <c r="N33" s="190" t="inlineStr">
        <is>
          <t>DCPSES12, DTCRTHS5, DTHSFBR5, SFTSFVL5</t>
        </is>
      </c>
    </row>
    <row r="34">
      <c r="A34" s="191" t="inlineStr">
        <is>
          <t>MADDUX-TREADWEL 138KV</t>
        </is>
      </c>
      <c r="B34" s="190" t="inlineStr">
        <is>
          <t>Watch</t>
        </is>
      </c>
      <c r="C34" s="190" t="n">
        <v>1</v>
      </c>
      <c r="D34" s="192" t="inlineStr">
        <is>
          <t>High</t>
        </is>
      </c>
      <c r="E34" s="190" t="n">
        <v>95</v>
      </c>
      <c r="F34" s="190" t="inlineStr">
        <is>
          <t>MADDUX_TREADW1_1</t>
        </is>
      </c>
      <c r="G34" s="190" t="inlineStr">
        <is>
          <t>MADDUX</t>
        </is>
      </c>
      <c r="H34" s="190" t="inlineStr">
        <is>
          <t>TREADWEL</t>
        </is>
      </c>
      <c r="I34" s="190" t="n">
        <v>138</v>
      </c>
      <c r="J34" s="190" t="n">
        <v>2205</v>
      </c>
      <c r="K34" s="190" t="n">
        <v>36</v>
      </c>
      <c r="L34" s="190" t="n">
        <v>130713.29</v>
      </c>
      <c r="M34" s="190" t="n">
        <v>471.22</v>
      </c>
      <c r="N34" s="190" t="inlineStr">
        <is>
          <t>DBIGKEN5, DBUCRGP5, SBIGOR45</t>
        </is>
      </c>
    </row>
    <row r="35">
      <c r="A35" s="190" t="n"/>
      <c r="B35" s="190" t="n"/>
      <c r="C35" s="190" t="n">
        <v>2</v>
      </c>
      <c r="D35" s="192" t="inlineStr">
        <is>
          <t>High</t>
        </is>
      </c>
      <c r="E35" s="190" t="n">
        <v>85</v>
      </c>
      <c r="F35" s="190" t="inlineStr">
        <is>
          <t>MADDUX_TREADW1_1</t>
        </is>
      </c>
      <c r="G35" s="190" t="inlineStr">
        <is>
          <t>TREADWEL</t>
        </is>
      </c>
      <c r="H35" s="190" t="inlineStr">
        <is>
          <t>MADDUX</t>
        </is>
      </c>
      <c r="I35" s="190" t="n">
        <v>138</v>
      </c>
      <c r="J35" s="190" t="n">
        <v>38</v>
      </c>
      <c r="K35" s="190" t="n">
        <v>2</v>
      </c>
      <c r="L35" s="190" t="n">
        <v>913.22</v>
      </c>
      <c r="M35" s="190" t="n">
        <v>57.47</v>
      </c>
      <c r="N35" s="190" t="inlineStr">
        <is>
          <t>DBAKCED5</t>
        </is>
      </c>
    </row>
    <row r="36">
      <c r="A36" s="191" t="inlineStr">
        <is>
          <t>PRLSW-CONSW 345KV</t>
        </is>
      </c>
      <c r="B36" s="190" t="inlineStr">
        <is>
          <t>Watch</t>
        </is>
      </c>
      <c r="C36" s="190" t="n">
        <v>1</v>
      </c>
      <c r="D36" s="192" t="inlineStr">
        <is>
          <t>High</t>
        </is>
      </c>
      <c r="E36" s="190" t="n">
        <v>95</v>
      </c>
      <c r="F36" s="190" t="inlineStr">
        <is>
          <t>6960__A</t>
        </is>
      </c>
      <c r="G36" s="190" t="inlineStr">
        <is>
          <t>PRLSW</t>
        </is>
      </c>
      <c r="H36" s="190" t="inlineStr">
        <is>
          <t>CONSW</t>
        </is>
      </c>
      <c r="I36" s="190" t="n">
        <v>345</v>
      </c>
      <c r="J36" s="190" t="n">
        <v>56</v>
      </c>
      <c r="K36" s="190" t="n">
        <v>1</v>
      </c>
      <c r="L36" s="190" t="n">
        <v>465.31</v>
      </c>
      <c r="M36" s="190" t="n">
        <v>109.7</v>
      </c>
      <c r="N36" s="190" t="inlineStr">
        <is>
          <t>MPRLCO25</t>
        </is>
      </c>
    </row>
    <row r="37">
      <c r="A37" s="190" t="n"/>
      <c r="B37" s="190" t="n"/>
      <c r="C37" s="190" t="n">
        <v>2</v>
      </c>
      <c r="D37" s="192" t="inlineStr">
        <is>
          <t>High</t>
        </is>
      </c>
      <c r="E37" s="190" t="n">
        <v>95</v>
      </c>
      <c r="F37" s="190" t="inlineStr">
        <is>
          <t>6056__B</t>
        </is>
      </c>
      <c r="G37" s="190" t="inlineStr">
        <is>
          <t>PRLSW</t>
        </is>
      </c>
      <c r="H37" s="190" t="inlineStr">
        <is>
          <t>CONSW</t>
        </is>
      </c>
      <c r="I37" s="190" t="n">
        <v>345</v>
      </c>
      <c r="J37" s="190" t="n">
        <v>51</v>
      </c>
      <c r="K37" s="190" t="n">
        <v>1</v>
      </c>
      <c r="L37" s="190" t="n">
        <v>1645.2</v>
      </c>
      <c r="M37" s="190" t="n">
        <v>58.14</v>
      </c>
      <c r="N37" s="190" t="inlineStr">
        <is>
          <t>DSLKNOR5</t>
        </is>
      </c>
    </row>
    <row r="38">
      <c r="A38" s="191" t="inlineStr">
        <is>
          <t>MAXWELL-HAMILTON 138KV</t>
        </is>
      </c>
      <c r="B38" s="190" t="inlineStr">
        <is>
          <t>Watch</t>
        </is>
      </c>
      <c r="C38" s="190" t="n">
        <v>1</v>
      </c>
      <c r="D38" s="192" t="inlineStr">
        <is>
          <t>High</t>
        </is>
      </c>
      <c r="E38" s="190" t="n">
        <v>95</v>
      </c>
      <c r="F38" s="190" t="inlineStr">
        <is>
          <t>HAMILT_MAXWEL1_1</t>
        </is>
      </c>
      <c r="G38" s="190" t="inlineStr">
        <is>
          <t>MAXWELL</t>
        </is>
      </c>
      <c r="H38" s="190" t="inlineStr">
        <is>
          <t>HAMILTON</t>
        </is>
      </c>
      <c r="I38" s="190" t="n">
        <v>138</v>
      </c>
      <c r="J38" s="190" t="n">
        <v>698</v>
      </c>
      <c r="K38" s="190" t="n">
        <v>23</v>
      </c>
      <c r="L38" s="190" t="n">
        <v>7590.82</v>
      </c>
      <c r="M38" s="190" t="n">
        <v>116.28</v>
      </c>
      <c r="N38" s="190" t="inlineStr">
        <is>
          <t>DBIGKEN5, DFRIILL8, SCT2CAR8, SILLFTL8</t>
        </is>
      </c>
    </row>
    <row r="39">
      <c r="A39" s="191" t="inlineStr">
        <is>
          <t>SONR-ATSO 69KV</t>
        </is>
      </c>
      <c r="B39" s="190" t="inlineStr">
        <is>
          <t>Watch</t>
        </is>
      </c>
      <c r="C39" s="190" t="n">
        <v>1</v>
      </c>
      <c r="D39" s="192" t="inlineStr">
        <is>
          <t>High</t>
        </is>
      </c>
      <c r="E39" s="190" t="n">
        <v>95</v>
      </c>
      <c r="F39" s="190" t="inlineStr">
        <is>
          <t>ATSO_SONR1_1</t>
        </is>
      </c>
      <c r="G39" s="190" t="inlineStr">
        <is>
          <t>SONR</t>
        </is>
      </c>
      <c r="H39" s="190" t="inlineStr">
        <is>
          <t>ATSO</t>
        </is>
      </c>
      <c r="I39" s="190" t="n">
        <v>69</v>
      </c>
      <c r="J39" s="190" t="n">
        <v>2663</v>
      </c>
      <c r="K39" s="190" t="n">
        <v>38</v>
      </c>
      <c r="L39" s="190" t="n">
        <v>283832.7</v>
      </c>
      <c r="M39" s="190" t="n">
        <v>1776.41</v>
      </c>
      <c r="N39" s="190" t="inlineStr">
        <is>
          <t>DBAKCED5, DFRIILL8, SCARFRI8, SCARLVO8</t>
        </is>
      </c>
    </row>
    <row r="40">
      <c r="A40" s="190" t="n"/>
      <c r="B40" s="190" t="n"/>
      <c r="C40" s="190" t="n">
        <v>2</v>
      </c>
      <c r="D40" s="180" t="inlineStr">
        <is>
          <t>Medium</t>
        </is>
      </c>
      <c r="E40" s="190" t="n">
        <v>75</v>
      </c>
      <c r="F40" s="190" t="inlineStr">
        <is>
          <t>ATSO_SONR1_1</t>
        </is>
      </c>
      <c r="G40" s="190" t="inlineStr">
        <is>
          <t>ATSO</t>
        </is>
      </c>
      <c r="H40" s="190" t="inlineStr">
        <is>
          <t>SONR</t>
        </is>
      </c>
      <c r="I40" s="190" t="n">
        <v>69</v>
      </c>
      <c r="J40" s="190" t="n">
        <v>2</v>
      </c>
      <c r="K40" s="190" t="n">
        <v>1</v>
      </c>
      <c r="L40" s="190" t="n">
        <v>0</v>
      </c>
      <c r="M40" s="190" t="n">
        <v>0</v>
      </c>
      <c r="N40" s="190" t="inlineStr">
        <is>
          <t>SCARFRI8</t>
        </is>
      </c>
    </row>
    <row r="41">
      <c r="A41" s="191" t="inlineStr">
        <is>
          <t>LAKENASW-SAMATHIS 69KV</t>
        </is>
      </c>
      <c r="B41" s="190" t="inlineStr">
        <is>
          <t>Watch</t>
        </is>
      </c>
      <c r="C41" s="190" t="n">
        <v>1</v>
      </c>
      <c r="D41" s="192" t="inlineStr">
        <is>
          <t>High</t>
        </is>
      </c>
      <c r="E41" s="190" t="n">
        <v>95</v>
      </c>
      <c r="F41" s="190" t="inlineStr">
        <is>
          <t>LAKENA_SAMATH1_1</t>
        </is>
      </c>
      <c r="G41" s="190" t="inlineStr">
        <is>
          <t>LAKENASW</t>
        </is>
      </c>
      <c r="H41" s="190" t="inlineStr">
        <is>
          <t>SAMATHIS</t>
        </is>
      </c>
      <c r="I41" s="190" t="n">
        <v>69</v>
      </c>
      <c r="J41" s="190" t="n">
        <v>4187</v>
      </c>
      <c r="K41" s="190" t="n">
        <v>63</v>
      </c>
      <c r="L41" s="190" t="n">
        <v>1362017.72</v>
      </c>
      <c r="M41" s="190" t="n">
        <v>2800</v>
      </c>
      <c r="N41" s="190" t="inlineStr">
        <is>
          <t>DBAKCED5, DBWNAMO5, DNOESGT5, DNOETWL5</t>
        </is>
      </c>
    </row>
    <row r="42">
      <c r="A42" s="191" t="inlineStr">
        <is>
          <t>BRUNI 138KV</t>
        </is>
      </c>
      <c r="B42" s="190" t="inlineStr">
        <is>
          <t>Watch</t>
        </is>
      </c>
      <c r="C42" s="190" t="n">
        <v>1</v>
      </c>
      <c r="D42" s="180" t="inlineStr">
        <is>
          <t>Medium</t>
        </is>
      </c>
      <c r="E42" s="190" t="n">
        <v>75</v>
      </c>
      <c r="F42" s="190" t="inlineStr">
        <is>
          <t>BRUNI_69_1</t>
        </is>
      </c>
      <c r="G42" s="190" t="inlineStr">
        <is>
          <t>BRUNI</t>
        </is>
      </c>
      <c r="H42" s="190" t="inlineStr">
        <is>
          <t>BRUNI</t>
        </is>
      </c>
      <c r="I42" s="190" t="n">
        <v>138</v>
      </c>
      <c r="J42" s="190" t="n">
        <v>8124</v>
      </c>
      <c r="K42" s="190" t="n">
        <v>109</v>
      </c>
      <c r="L42" s="190" t="n">
        <v>1933529.56</v>
      </c>
      <c r="M42" s="190" t="n">
        <v>3500</v>
      </c>
      <c r="N42" s="190" t="inlineStr">
        <is>
          <t>DFOAVLO5, DLOFOAV5, MLOFOAV5, SLAQLOB8</t>
        </is>
      </c>
    </row>
    <row r="43">
      <c r="A43" s="191" t="inlineStr">
        <is>
          <t>CRTRVLLE-HILGR 138KV</t>
        </is>
      </c>
      <c r="B43" s="190" t="inlineStr">
        <is>
          <t>Watch</t>
        </is>
      </c>
      <c r="C43" s="190" t="n">
        <v>1</v>
      </c>
      <c r="D43" s="192" t="inlineStr">
        <is>
          <t>High</t>
        </is>
      </c>
      <c r="E43" s="190" t="n">
        <v>95</v>
      </c>
      <c r="F43" s="190" t="inlineStr">
        <is>
          <t>16050__B</t>
        </is>
      </c>
      <c r="G43" s="190" t="inlineStr">
        <is>
          <t>CRTRVLLE</t>
        </is>
      </c>
      <c r="H43" s="190" t="inlineStr">
        <is>
          <t>HILGR</t>
        </is>
      </c>
      <c r="I43" s="190" t="n">
        <v>138</v>
      </c>
      <c r="J43" s="190" t="n">
        <v>355</v>
      </c>
      <c r="K43" s="190" t="n">
        <v>8</v>
      </c>
      <c r="L43" s="190" t="n">
        <v>23483.16</v>
      </c>
      <c r="M43" s="190" t="n">
        <v>1011.32</v>
      </c>
      <c r="N43" s="190" t="inlineStr">
        <is>
          <t>MLNGPR25, SW_BLNG5</t>
        </is>
      </c>
    </row>
    <row r="44">
      <c r="A44" s="191" t="inlineStr">
        <is>
          <t>ARGYL-LWSVH 138KV</t>
        </is>
      </c>
      <c r="B44" s="190" t="inlineStr">
        <is>
          <t>Watch</t>
        </is>
      </c>
      <c r="C44" s="190" t="n">
        <v>1</v>
      </c>
      <c r="D44" s="192" t="inlineStr">
        <is>
          <t>High</t>
        </is>
      </c>
      <c r="E44" s="190" t="n">
        <v>95</v>
      </c>
      <c r="F44" s="190" t="inlineStr">
        <is>
          <t>587__A</t>
        </is>
      </c>
      <c r="G44" s="190" t="inlineStr">
        <is>
          <t>ARGYL</t>
        </is>
      </c>
      <c r="H44" s="190" t="inlineStr">
        <is>
          <t>LWSVH</t>
        </is>
      </c>
      <c r="I44" s="190" t="n">
        <v>138</v>
      </c>
      <c r="J44" s="190" t="n">
        <v>1655</v>
      </c>
      <c r="K44" s="190" t="n">
        <v>13</v>
      </c>
      <c r="L44" s="190" t="n">
        <v>278055.92</v>
      </c>
      <c r="M44" s="190" t="n">
        <v>3114.31</v>
      </c>
      <c r="N44" s="190" t="inlineStr">
        <is>
          <t>DDHMLWS5, MDHMLWS5, MLWSWDE5, MRNKDHM5</t>
        </is>
      </c>
    </row>
    <row r="45">
      <c r="A45" s="190" t="n"/>
      <c r="B45" s="190" t="n"/>
      <c r="C45" s="190" t="n">
        <v>2</v>
      </c>
      <c r="D45" s="180" t="inlineStr">
        <is>
          <t>Medium</t>
        </is>
      </c>
      <c r="E45" s="190" t="n">
        <v>75</v>
      </c>
      <c r="F45" s="190" t="inlineStr">
        <is>
          <t>587__A</t>
        </is>
      </c>
      <c r="G45" s="190" t="inlineStr">
        <is>
          <t>LWSVH</t>
        </is>
      </c>
      <c r="H45" s="190" t="inlineStr">
        <is>
          <t>ARGYL</t>
        </is>
      </c>
      <c r="I45" s="190" t="n">
        <v>138</v>
      </c>
      <c r="J45" s="190" t="n">
        <v>85</v>
      </c>
      <c r="K45" s="190" t="n">
        <v>2</v>
      </c>
      <c r="L45" s="190" t="n">
        <v>2677.62</v>
      </c>
      <c r="M45" s="190" t="n">
        <v>185.72</v>
      </c>
      <c r="N45" s="190" t="inlineStr">
        <is>
          <t>XW_2D58, XW_D58</t>
        </is>
      </c>
    </row>
    <row r="46">
      <c r="A46" s="191" t="inlineStr">
        <is>
          <t>NORTMC-CROSSOVE 138KV</t>
        </is>
      </c>
      <c r="B46" s="190" t="inlineStr">
        <is>
          <t>Watch</t>
        </is>
      </c>
      <c r="C46" s="190" t="n">
        <v>1</v>
      </c>
      <c r="D46" s="192" t="inlineStr">
        <is>
          <t>High</t>
        </is>
      </c>
      <c r="E46" s="190" t="n">
        <v>95</v>
      </c>
      <c r="F46" s="190" t="inlineStr">
        <is>
          <t>CROSSO_NORTMC1_1</t>
        </is>
      </c>
      <c r="G46" s="190" t="inlineStr">
        <is>
          <t>NORTMC</t>
        </is>
      </c>
      <c r="H46" s="190" t="inlineStr">
        <is>
          <t>CROSSOVE</t>
        </is>
      </c>
      <c r="I46" s="190" t="n">
        <v>138</v>
      </c>
      <c r="J46" s="190" t="n">
        <v>1645</v>
      </c>
      <c r="K46" s="190" t="n">
        <v>37</v>
      </c>
      <c r="L46" s="190" t="n">
        <v>128513.13</v>
      </c>
      <c r="M46" s="190" t="n">
        <v>1059.27</v>
      </c>
      <c r="N46" s="190" t="inlineStr">
        <is>
          <t>DBIGKEN5, DBIGSCH5, SBAKNOR5, SFTLMES8</t>
        </is>
      </c>
    </row>
    <row r="47">
      <c r="A47" s="191" t="inlineStr">
        <is>
          <t>LA_PALMA-HAINE_DR 138KV</t>
        </is>
      </c>
      <c r="B47" s="190" t="inlineStr">
        <is>
          <t>Watch</t>
        </is>
      </c>
      <c r="C47" s="190" t="n">
        <v>1</v>
      </c>
      <c r="D47" s="192" t="inlineStr">
        <is>
          <t>High</t>
        </is>
      </c>
      <c r="E47" s="190" t="n">
        <v>95</v>
      </c>
      <c r="F47" s="190" t="inlineStr">
        <is>
          <t>HAINE__LA_PAL1_1</t>
        </is>
      </c>
      <c r="G47" s="190" t="inlineStr">
        <is>
          <t>LA_PALMA</t>
        </is>
      </c>
      <c r="H47" s="190" t="inlineStr">
        <is>
          <t>HAINE_DR</t>
        </is>
      </c>
      <c r="I47" s="190" t="n">
        <v>138</v>
      </c>
      <c r="J47" s="190" t="n">
        <v>2477</v>
      </c>
      <c r="K47" s="190" t="n">
        <v>53</v>
      </c>
      <c r="L47" s="190" t="n">
        <v>42443.66</v>
      </c>
      <c r="M47" s="190" t="n">
        <v>842.08</v>
      </c>
      <c r="N47" s="190" t="inlineStr">
        <is>
          <t>BASE CASE, MHARNED5, SRAYRI28, SRAYRI38</t>
        </is>
      </c>
    </row>
    <row r="48">
      <c r="A48" s="191" t="inlineStr">
        <is>
          <t>GN-PZ 138KV</t>
        </is>
      </c>
      <c r="B48" s="190" t="inlineStr">
        <is>
          <t>Watch</t>
        </is>
      </c>
      <c r="C48" s="190" t="n">
        <v>1</v>
      </c>
      <c r="D48" s="192" t="inlineStr">
        <is>
          <t>High</t>
        </is>
      </c>
      <c r="E48" s="190" t="n">
        <v>95</v>
      </c>
      <c r="F48" s="190" t="inlineStr">
        <is>
          <t>GN_PZ_08_A</t>
        </is>
      </c>
      <c r="G48" s="190" t="inlineStr">
        <is>
          <t>GN</t>
        </is>
      </c>
      <c r="H48" s="190" t="inlineStr">
        <is>
          <t>PZ</t>
        </is>
      </c>
      <c r="I48" s="190" t="n">
        <v>138</v>
      </c>
      <c r="J48" s="190" t="n">
        <v>5517</v>
      </c>
      <c r="K48" s="190" t="n">
        <v>69</v>
      </c>
      <c r="L48" s="190" t="n">
        <v>323519.41</v>
      </c>
      <c r="M48" s="190" t="n">
        <v>2350.97</v>
      </c>
      <c r="N48" s="190" t="inlineStr">
        <is>
          <t>SMDOOAS5, XMDO58</t>
        </is>
      </c>
    </row>
    <row r="49">
      <c r="A49" s="191" t="inlineStr">
        <is>
          <t>MV_BURNS-MV_HBRG4 138KV</t>
        </is>
      </c>
      <c r="B49" s="190" t="inlineStr">
        <is>
          <t>Watch</t>
        </is>
      </c>
      <c r="C49" s="190" t="n">
        <v>1</v>
      </c>
      <c r="D49" s="192" t="inlineStr">
        <is>
          <t>High</t>
        </is>
      </c>
      <c r="E49" s="190" t="n">
        <v>95</v>
      </c>
      <c r="F49" s="190" t="inlineStr">
        <is>
          <t>BURNS_HEIDLBRG_1</t>
        </is>
      </c>
      <c r="G49" s="190" t="inlineStr">
        <is>
          <t>MV_BURNS</t>
        </is>
      </c>
      <c r="H49" s="190" t="inlineStr">
        <is>
          <t>MV_HBRG4</t>
        </is>
      </c>
      <c r="I49" s="190" t="n">
        <v>138</v>
      </c>
      <c r="J49" s="190" t="n">
        <v>674</v>
      </c>
      <c r="K49" s="190" t="n">
        <v>8</v>
      </c>
      <c r="L49" s="190" t="n">
        <v>106276.61</v>
      </c>
      <c r="M49" s="190" t="n">
        <v>1887.59</v>
      </c>
      <c r="N49" s="190" t="inlineStr">
        <is>
          <t>DCC1DUKE, MHARNED5, SN_SAJO5</t>
        </is>
      </c>
    </row>
    <row r="50">
      <c r="A50" s="191" t="inlineStr">
        <is>
          <t>BR-HOC 138KV</t>
        </is>
      </c>
      <c r="B50" s="190" t="inlineStr">
        <is>
          <t>Watch</t>
        </is>
      </c>
      <c r="C50" s="190" t="n">
        <v>1</v>
      </c>
      <c r="D50" s="192" t="inlineStr">
        <is>
          <t>High</t>
        </is>
      </c>
      <c r="E50" s="190" t="n">
        <v>95</v>
      </c>
      <c r="F50" s="190" t="inlineStr">
        <is>
          <t>BR_HOC09_A</t>
        </is>
      </c>
      <c r="G50" s="190" t="inlineStr">
        <is>
          <t>BR</t>
        </is>
      </c>
      <c r="H50" s="190" t="inlineStr">
        <is>
          <t>HOC</t>
        </is>
      </c>
      <c r="I50" s="190" t="n">
        <v>138</v>
      </c>
      <c r="J50" s="190" t="n">
        <v>113</v>
      </c>
      <c r="K50" s="190" t="n">
        <v>2</v>
      </c>
      <c r="L50" s="190" t="n">
        <v>164.14</v>
      </c>
      <c r="M50" s="190" t="n">
        <v>85.16</v>
      </c>
      <c r="N50" s="190" t="inlineStr">
        <is>
          <t>BASE CASE, MGTKBHC8, SMDOOAS5, XJN58</t>
        </is>
      </c>
    </row>
    <row r="51">
      <c r="A51" s="191" t="inlineStr">
        <is>
          <t>BOW 69KV</t>
        </is>
      </c>
      <c r="B51" s="190" t="inlineStr">
        <is>
          <t>Watch</t>
        </is>
      </c>
      <c r="C51" s="190" t="n">
        <v>1</v>
      </c>
      <c r="D51" s="180" t="inlineStr">
        <is>
          <t>Medium</t>
        </is>
      </c>
      <c r="E51" s="190" t="n">
        <v>75</v>
      </c>
      <c r="F51" s="190" t="inlineStr">
        <is>
          <t>BOW_FMR1</t>
        </is>
      </c>
      <c r="G51" s="190" t="inlineStr">
        <is>
          <t>BOW</t>
        </is>
      </c>
      <c r="H51" s="190" t="inlineStr">
        <is>
          <t>BOW</t>
        </is>
      </c>
      <c r="I51" s="190" t="n">
        <v>69</v>
      </c>
      <c r="J51" s="190" t="n">
        <v>1723</v>
      </c>
      <c r="K51" s="190" t="n">
        <v>19</v>
      </c>
      <c r="L51" s="190" t="n">
        <v>205442.83</v>
      </c>
      <c r="M51" s="190" t="n">
        <v>3500</v>
      </c>
      <c r="N51" s="190" t="inlineStr">
        <is>
          <t>DBNTTOW9, DJCY_CC1, DRILKRW5, SBWSTOW9</t>
        </is>
      </c>
    </row>
    <row r="52">
      <c r="A52" s="191" t="inlineStr">
        <is>
          <t>CMNSW-CMNTP 138KV</t>
        </is>
      </c>
      <c r="B52" s="190" t="inlineStr">
        <is>
          <t>Watch</t>
        </is>
      </c>
      <c r="C52" s="190" t="n">
        <v>1</v>
      </c>
      <c r="D52" s="192" t="inlineStr">
        <is>
          <t>High</t>
        </is>
      </c>
      <c r="E52" s="190" t="n">
        <v>95</v>
      </c>
      <c r="F52" s="190" t="inlineStr">
        <is>
          <t>651__B</t>
        </is>
      </c>
      <c r="G52" s="190" t="inlineStr">
        <is>
          <t>CMNSW</t>
        </is>
      </c>
      <c r="H52" s="190" t="inlineStr">
        <is>
          <t>CMNTP</t>
        </is>
      </c>
      <c r="I52" s="190" t="n">
        <v>138</v>
      </c>
      <c r="J52" s="190" t="n">
        <v>10141</v>
      </c>
      <c r="K52" s="190" t="n">
        <v>70</v>
      </c>
      <c r="L52" s="190" t="n">
        <v>690943.77</v>
      </c>
      <c r="M52" s="190" t="n">
        <v>1270.76</v>
      </c>
      <c r="N52" s="190" t="inlineStr">
        <is>
          <t>DBUCRGP5, DBWNRGP5, DCPSST58, DKLNRGP5</t>
        </is>
      </c>
    </row>
    <row r="53">
      <c r="A53" s="191" t="inlineStr">
        <is>
          <t>UVALDE-READING 138KV</t>
        </is>
      </c>
      <c r="B53" s="190" t="inlineStr">
        <is>
          <t>Watch</t>
        </is>
      </c>
      <c r="C53" s="190" t="n">
        <v>1</v>
      </c>
      <c r="D53" s="192" t="inlineStr">
        <is>
          <t>High</t>
        </is>
      </c>
      <c r="E53" s="190" t="n">
        <v>95</v>
      </c>
      <c r="F53" s="190" t="inlineStr">
        <is>
          <t>READIN_UVALDE1_1</t>
        </is>
      </c>
      <c r="G53" s="190" t="inlineStr">
        <is>
          <t>UVALDE</t>
        </is>
      </c>
      <c r="H53" s="190" t="inlineStr">
        <is>
          <t>READING</t>
        </is>
      </c>
      <c r="I53" s="190" t="n">
        <v>138</v>
      </c>
      <c r="J53" s="190" t="n">
        <v>334</v>
      </c>
      <c r="K53" s="190" t="n">
        <v>9</v>
      </c>
      <c r="L53" s="190" t="n">
        <v>477.63</v>
      </c>
      <c r="M53" s="190" t="n">
        <v>35.89</v>
      </c>
      <c r="N53" s="190" t="inlineStr">
        <is>
          <t>DRAZSA89</t>
        </is>
      </c>
    </row>
    <row r="54">
      <c r="A54" s="191" t="inlineStr">
        <is>
          <t>WOLFCAMP-SANTARIT 138KV</t>
        </is>
      </c>
      <c r="B54" s="190" t="inlineStr">
        <is>
          <t>Watch</t>
        </is>
      </c>
      <c r="C54" s="190" t="n">
        <v>1</v>
      </c>
      <c r="D54" s="192" t="inlineStr">
        <is>
          <t>High</t>
        </is>
      </c>
      <c r="E54" s="190" t="n">
        <v>95</v>
      </c>
      <c r="F54" s="190" t="inlineStr">
        <is>
          <t>SANTAR_WOLFCA1_1</t>
        </is>
      </c>
      <c r="G54" s="190" t="inlineStr">
        <is>
          <t>WOLFCAMP</t>
        </is>
      </c>
      <c r="H54" s="190" t="inlineStr">
        <is>
          <t>SANTARIT</t>
        </is>
      </c>
      <c r="I54" s="190" t="n">
        <v>138</v>
      </c>
      <c r="J54" s="190" t="n">
        <v>754</v>
      </c>
      <c r="K54" s="190" t="n">
        <v>19</v>
      </c>
      <c r="L54" s="190" t="n">
        <v>34722.29</v>
      </c>
      <c r="M54" s="190" t="n">
        <v>384.54</v>
      </c>
      <c r="N54" s="190" t="inlineStr">
        <is>
          <t>DBIGSCH5, DSGTSCH5, SCROPAL8, SFTLMES8</t>
        </is>
      </c>
    </row>
    <row r="55">
      <c r="A55" s="191" t="inlineStr">
        <is>
          <t>LAREDO-DEL_MAR 138KV</t>
        </is>
      </c>
      <c r="B55" s="190" t="inlineStr">
        <is>
          <t>Watch</t>
        </is>
      </c>
      <c r="C55" s="190" t="n">
        <v>1</v>
      </c>
      <c r="D55" s="192" t="inlineStr">
        <is>
          <t>High</t>
        </is>
      </c>
      <c r="E55" s="190" t="n">
        <v>95</v>
      </c>
      <c r="F55" s="190" t="inlineStr">
        <is>
          <t>DEL_MA_LAREDO1_1</t>
        </is>
      </c>
      <c r="G55" s="190" t="inlineStr">
        <is>
          <t>LAREDO</t>
        </is>
      </c>
      <c r="H55" s="190" t="inlineStr">
        <is>
          <t>DEL_MAR</t>
        </is>
      </c>
      <c r="I55" s="190" t="n">
        <v>138</v>
      </c>
      <c r="J55" s="190" t="n">
        <v>46</v>
      </c>
      <c r="K55" s="190" t="n">
        <v>1</v>
      </c>
      <c r="L55" s="190" t="n">
        <v>207.26</v>
      </c>
      <c r="M55" s="190" t="n">
        <v>48.48</v>
      </c>
      <c r="N55" s="190" t="inlineStr">
        <is>
          <t>SLARLAS8</t>
        </is>
      </c>
    </row>
    <row r="56">
      <c r="A56" s="191" t="inlineStr">
        <is>
          <t>COLETO CREEK-VICTORIA</t>
        </is>
      </c>
      <c r="B56" s="190" t="inlineStr">
        <is>
          <t>Watch</t>
        </is>
      </c>
      <c r="C56" s="190" t="n">
        <v>1</v>
      </c>
      <c r="D56" s="192" t="inlineStr">
        <is>
          <t>High</t>
        </is>
      </c>
      <c r="E56" s="190" t="n">
        <v>90</v>
      </c>
      <c r="F56" s="190" t="inlineStr">
        <is>
          <t>COLETO_VICTOR2_1</t>
        </is>
      </c>
      <c r="G56" s="190" t="inlineStr">
        <is>
          <t>COLETO</t>
        </is>
      </c>
      <c r="H56" s="190" t="inlineStr">
        <is>
          <t>VICTORIA</t>
        </is>
      </c>
      <c r="I56" s="190" t="n">
        <v>138</v>
      </c>
      <c r="J56" s="190" t="n">
        <v>769</v>
      </c>
      <c r="K56" s="190" t="n">
        <v>10</v>
      </c>
      <c r="L56" s="190" t="n">
        <v>19751.1</v>
      </c>
      <c r="M56" s="190" t="n">
        <v>704.5599999999999</v>
      </c>
      <c r="N56" s="190" t="inlineStr">
        <is>
          <t>DVICVI89, SPAWSAN5, SVICCO28</t>
        </is>
      </c>
    </row>
    <row r="57">
      <c r="A57" s="191" t="inlineStr">
        <is>
          <t>FMRVL-RYSSW 345KV</t>
        </is>
      </c>
      <c r="B57" s="190" t="inlineStr">
        <is>
          <t>Watch</t>
        </is>
      </c>
      <c r="C57" s="190" t="n">
        <v>1</v>
      </c>
      <c r="D57" s="192" t="inlineStr">
        <is>
          <t>High</t>
        </is>
      </c>
      <c r="E57" s="190" t="n">
        <v>95</v>
      </c>
      <c r="F57" s="190" t="inlineStr">
        <is>
          <t>400__A</t>
        </is>
      </c>
      <c r="G57" s="190" t="inlineStr">
        <is>
          <t>FMRVL</t>
        </is>
      </c>
      <c r="H57" s="190" t="inlineStr">
        <is>
          <t>RYSSW</t>
        </is>
      </c>
      <c r="I57" s="190" t="n">
        <v>345</v>
      </c>
      <c r="J57" s="190" t="n">
        <v>2722</v>
      </c>
      <c r="K57" s="190" t="n">
        <v>48</v>
      </c>
      <c r="L57" s="190" t="n">
        <v>50503.25</v>
      </c>
      <c r="M57" s="190" t="n">
        <v>1235.89</v>
      </c>
      <c r="N57" s="190" t="inlineStr">
        <is>
          <t>SFMRRYS5</t>
        </is>
      </c>
    </row>
    <row r="58">
      <c r="A58" s="190" t="n"/>
      <c r="B58" s="190" t="n"/>
      <c r="C58" s="190" t="n">
        <v>2</v>
      </c>
      <c r="D58" s="192" t="inlineStr">
        <is>
          <t>High</t>
        </is>
      </c>
      <c r="E58" s="190" t="n">
        <v>95</v>
      </c>
      <c r="F58" s="190" t="inlineStr">
        <is>
          <t>381__A</t>
        </is>
      </c>
      <c r="G58" s="190" t="inlineStr">
        <is>
          <t>FMRVL</t>
        </is>
      </c>
      <c r="H58" s="190" t="inlineStr">
        <is>
          <t>RYSSW</t>
        </is>
      </c>
      <c r="I58" s="190" t="n">
        <v>345</v>
      </c>
      <c r="J58" s="190" t="n">
        <v>1426</v>
      </c>
      <c r="K58" s="190" t="n">
        <v>23</v>
      </c>
      <c r="L58" s="190" t="n">
        <v>10370.94</v>
      </c>
      <c r="M58" s="190" t="n">
        <v>203.68</v>
      </c>
      <c r="N58" s="190" t="inlineStr">
        <is>
          <t>SFMRRY25</t>
        </is>
      </c>
    </row>
    <row r="59">
      <c r="A59" s="191" t="inlineStr">
        <is>
          <t>LOBO-LARDVNTH 138KV</t>
        </is>
      </c>
      <c r="B59" s="190" t="inlineStr">
        <is>
          <t>Low</t>
        </is>
      </c>
      <c r="C59" s="190" t="n">
        <v>1</v>
      </c>
      <c r="D59" s="192" t="inlineStr">
        <is>
          <t>High</t>
        </is>
      </c>
      <c r="E59" s="190" t="n">
        <v>95</v>
      </c>
      <c r="F59" s="190" t="inlineStr">
        <is>
          <t>LARDVN_LOBO2_1</t>
        </is>
      </c>
      <c r="G59" s="190" t="inlineStr">
        <is>
          <t>LOBO</t>
        </is>
      </c>
      <c r="H59" s="190" t="inlineStr">
        <is>
          <t>LARDVNTH</t>
        </is>
      </c>
      <c r="I59" s="190" t="n">
        <v>138</v>
      </c>
      <c r="J59" s="190" t="n">
        <v>742</v>
      </c>
      <c r="K59" s="190" t="n">
        <v>16</v>
      </c>
      <c r="L59" s="190" t="n">
        <v>6981.35</v>
      </c>
      <c r="M59" s="190" t="n">
        <v>387.54</v>
      </c>
      <c r="N59" s="190" t="inlineStr">
        <is>
          <t>MLARDUS8, SLARDUS8</t>
        </is>
      </c>
    </row>
    <row r="60">
      <c r="A60" s="191" t="inlineStr">
        <is>
          <t>BCESW-SNDSW 345KV</t>
        </is>
      </c>
      <c r="B60" s="190" t="inlineStr">
        <is>
          <t>Low</t>
        </is>
      </c>
      <c r="C60" s="190" t="n">
        <v>1</v>
      </c>
      <c r="D60" s="192" t="inlineStr">
        <is>
          <t>High</t>
        </is>
      </c>
      <c r="E60" s="190" t="n">
        <v>95</v>
      </c>
      <c r="F60" s="190" t="inlineStr">
        <is>
          <t>421__A</t>
        </is>
      </c>
      <c r="G60" s="190" t="inlineStr">
        <is>
          <t>BCESW</t>
        </is>
      </c>
      <c r="H60" s="190" t="inlineStr">
        <is>
          <t>SNDSW</t>
        </is>
      </c>
      <c r="I60" s="190" t="n">
        <v>345</v>
      </c>
      <c r="J60" s="190" t="n">
        <v>3728</v>
      </c>
      <c r="K60" s="190" t="n">
        <v>58</v>
      </c>
      <c r="L60" s="190" t="n">
        <v>78126.92999999999</v>
      </c>
      <c r="M60" s="190" t="n">
        <v>945.03</v>
      </c>
      <c r="N60" s="190" t="inlineStr">
        <is>
          <t>DSALHUT5, MSSNDBG5, SBCEBGR5, SSNDBGR5</t>
        </is>
      </c>
    </row>
    <row r="61">
      <c r="A61" s="191" t="inlineStr">
        <is>
          <t>LARDVNTH-LASCRUCE 138KV</t>
        </is>
      </c>
      <c r="B61" s="190" t="inlineStr">
        <is>
          <t>Low</t>
        </is>
      </c>
      <c r="C61" s="190" t="n">
        <v>1</v>
      </c>
      <c r="D61" s="192" t="inlineStr">
        <is>
          <t>High</t>
        </is>
      </c>
      <c r="E61" s="190" t="n">
        <v>95</v>
      </c>
      <c r="F61" s="190" t="inlineStr">
        <is>
          <t>LARDVN_LASCRU1_1</t>
        </is>
      </c>
      <c r="G61" s="190" t="inlineStr">
        <is>
          <t>LARDVNTH</t>
        </is>
      </c>
      <c r="H61" s="190" t="inlineStr">
        <is>
          <t>LASCRUCE</t>
        </is>
      </c>
      <c r="I61" s="190" t="n">
        <v>138</v>
      </c>
      <c r="J61" s="190" t="n">
        <v>243</v>
      </c>
      <c r="K61" s="190" t="n">
        <v>4</v>
      </c>
      <c r="L61" s="190" t="n">
        <v>1882.08</v>
      </c>
      <c r="M61" s="190" t="n">
        <v>87.09999999999999</v>
      </c>
      <c r="N61" s="190" t="inlineStr">
        <is>
          <t>DFOAVLO5</t>
        </is>
      </c>
    </row>
    <row r="62">
      <c r="A62" s="191" t="inlineStr">
        <is>
          <t>WCRYSTS-CARIZOS 69KV</t>
        </is>
      </c>
      <c r="B62" s="190" t="inlineStr">
        <is>
          <t>Low</t>
        </is>
      </c>
      <c r="C62" s="190" t="n">
        <v>1</v>
      </c>
      <c r="D62" s="192" t="inlineStr">
        <is>
          <t>High</t>
        </is>
      </c>
      <c r="E62" s="190" t="n">
        <v>95</v>
      </c>
      <c r="F62" s="190" t="inlineStr">
        <is>
          <t>WCR_CARI_1</t>
        </is>
      </c>
      <c r="G62" s="190" t="inlineStr">
        <is>
          <t>WCRYSTS</t>
        </is>
      </c>
      <c r="H62" s="190" t="inlineStr">
        <is>
          <t>CARIZOS</t>
        </is>
      </c>
      <c r="I62" s="190" t="n">
        <v>69</v>
      </c>
      <c r="J62" s="190" t="n">
        <v>27</v>
      </c>
      <c r="K62" s="190" t="n">
        <v>1</v>
      </c>
      <c r="L62" s="190" t="n">
        <v>0</v>
      </c>
      <c r="M62" s="190" t="n">
        <v>0</v>
      </c>
      <c r="N62" s="190" t="inlineStr">
        <is>
          <t>SBE2ASH8</t>
        </is>
      </c>
    </row>
    <row r="63">
      <c r="A63" s="191" t="inlineStr">
        <is>
          <t>JEWET-BBSES 345KV</t>
        </is>
      </c>
      <c r="B63" s="190" t="inlineStr">
        <is>
          <t>Low</t>
        </is>
      </c>
      <c r="C63" s="190" t="n">
        <v>1</v>
      </c>
      <c r="D63" s="180" t="inlineStr">
        <is>
          <t>Medium</t>
        </is>
      </c>
      <c r="E63" s="190" t="n">
        <v>75</v>
      </c>
      <c r="F63" s="190" t="inlineStr">
        <is>
          <t>40__A</t>
        </is>
      </c>
      <c r="G63" s="190" t="inlineStr">
        <is>
          <t>BBSES</t>
        </is>
      </c>
      <c r="H63" s="190" t="inlineStr">
        <is>
          <t>JEWET</t>
        </is>
      </c>
      <c r="I63" s="190" t="n">
        <v>345</v>
      </c>
      <c r="J63" s="190" t="n">
        <v>83</v>
      </c>
      <c r="K63" s="190" t="n">
        <v>1</v>
      </c>
      <c r="L63" s="190" t="n">
        <v>650.77</v>
      </c>
      <c r="M63" s="190" t="n">
        <v>46.18</v>
      </c>
      <c r="N63" s="190" t="inlineStr">
        <is>
          <t>DPNALEO5</t>
        </is>
      </c>
    </row>
    <row r="64">
      <c r="A64" s="191" t="inlineStr">
        <is>
          <t>ABNTHWST 138KV</t>
        </is>
      </c>
      <c r="B64" s="190" t="inlineStr">
        <is>
          <t>Low</t>
        </is>
      </c>
      <c r="C64" s="190" t="n">
        <v>1</v>
      </c>
      <c r="D64" s="180" t="inlineStr">
        <is>
          <t>Medium</t>
        </is>
      </c>
      <c r="E64" s="190" t="n">
        <v>75</v>
      </c>
      <c r="F64" s="190" t="inlineStr">
        <is>
          <t>ABNTHW_SERDEV1_1</t>
        </is>
      </c>
      <c r="G64" s="190" t="inlineStr">
        <is>
          <t>ABNTHWST</t>
        </is>
      </c>
      <c r="H64" s="190" t="inlineStr">
        <is>
          <t>ABNTHWST</t>
        </is>
      </c>
      <c r="I64" s="190" t="n">
        <v>138</v>
      </c>
      <c r="J64" s="190" t="n">
        <v>311</v>
      </c>
      <c r="K64" s="190" t="n">
        <v>13</v>
      </c>
      <c r="L64" s="190" t="n">
        <v>28521.75</v>
      </c>
      <c r="M64" s="190" t="n">
        <v>1853.62</v>
      </c>
      <c r="N64" s="190" t="inlineStr">
        <is>
          <t>DBLUBUF8, MXMUB58, SABSBLU8</t>
        </is>
      </c>
    </row>
    <row r="65">
      <c r="A65" s="191" t="inlineStr">
        <is>
          <t>HAMILTON-MAVERICK 138KV</t>
        </is>
      </c>
      <c r="B65" s="190" t="inlineStr">
        <is>
          <t>Low</t>
        </is>
      </c>
      <c r="C65" s="190" t="n">
        <v>1</v>
      </c>
      <c r="D65" s="192" t="inlineStr">
        <is>
          <t>High</t>
        </is>
      </c>
      <c r="E65" s="190" t="n">
        <v>95</v>
      </c>
      <c r="F65" s="190" t="inlineStr">
        <is>
          <t>HAMILT_MAVERI1_1</t>
        </is>
      </c>
      <c r="G65" s="190" t="inlineStr">
        <is>
          <t>HAMILTON</t>
        </is>
      </c>
      <c r="H65" s="190" t="inlineStr">
        <is>
          <t>MAVERICK</t>
        </is>
      </c>
      <c r="I65" s="190" t="n">
        <v>138</v>
      </c>
      <c r="J65" s="190" t="n">
        <v>2537</v>
      </c>
      <c r="K65" s="190" t="n">
        <v>33</v>
      </c>
      <c r="L65" s="190" t="n">
        <v>52186.04</v>
      </c>
      <c r="M65" s="190" t="n">
        <v>226.71</v>
      </c>
      <c r="N65" s="190" t="inlineStr">
        <is>
          <t>SBRAESC8, SBRAHAM8, SBRAPIN8</t>
        </is>
      </c>
    </row>
    <row r="66">
      <c r="A66" s="190" t="n"/>
      <c r="B66" s="190" t="n"/>
      <c r="C66" s="190" t="n">
        <v>2</v>
      </c>
      <c r="D66" s="192" t="inlineStr">
        <is>
          <t>High</t>
        </is>
      </c>
      <c r="E66" s="190" t="n">
        <v>85</v>
      </c>
      <c r="F66" s="190" t="inlineStr">
        <is>
          <t>HAMILT_MAVERI1_1</t>
        </is>
      </c>
      <c r="G66" s="190" t="inlineStr">
        <is>
          <t>MAVERICK</t>
        </is>
      </c>
      <c r="H66" s="190" t="inlineStr">
        <is>
          <t>HAMILTON</t>
        </is>
      </c>
      <c r="I66" s="190" t="n">
        <v>138</v>
      </c>
      <c r="J66" s="190" t="n">
        <v>43</v>
      </c>
      <c r="K66" s="190" t="n">
        <v>1</v>
      </c>
      <c r="L66" s="190" t="n">
        <v>1099.7</v>
      </c>
      <c r="M66" s="190" t="n">
        <v>169.19</v>
      </c>
      <c r="N66" s="190" t="inlineStr">
        <is>
          <t>SBRAHAM8</t>
        </is>
      </c>
    </row>
    <row r="67">
      <c r="A67" s="191" t="inlineStr">
        <is>
          <t>PILONCIL-CATARINA 138KV</t>
        </is>
      </c>
      <c r="B67" s="190" t="inlineStr">
        <is>
          <t>Low</t>
        </is>
      </c>
      <c r="C67" s="190" t="n">
        <v>1</v>
      </c>
      <c r="D67" s="192" t="inlineStr">
        <is>
          <t>High</t>
        </is>
      </c>
      <c r="E67" s="190" t="n">
        <v>95</v>
      </c>
      <c r="F67" s="190" t="inlineStr">
        <is>
          <t>CATARI_PILONC1_1</t>
        </is>
      </c>
      <c r="G67" s="190" t="inlineStr">
        <is>
          <t>PILONCIL</t>
        </is>
      </c>
      <c r="H67" s="190" t="inlineStr">
        <is>
          <t>CATARINA</t>
        </is>
      </c>
      <c r="I67" s="190" t="n">
        <v>138</v>
      </c>
      <c r="J67" s="190" t="n">
        <v>199</v>
      </c>
      <c r="K67" s="190" t="n">
        <v>3</v>
      </c>
      <c r="L67" s="190" t="n">
        <v>0</v>
      </c>
      <c r="M67" s="190" t="n">
        <v>0</v>
      </c>
      <c r="N67" s="190" t="inlineStr">
        <is>
          <t>DFOAVLO5, MLOFOAV5</t>
        </is>
      </c>
    </row>
    <row r="68">
      <c r="A68" s="190" t="n"/>
      <c r="B68" s="190" t="n"/>
      <c r="C68" s="190" t="n">
        <v>2</v>
      </c>
      <c r="D68" s="180" t="inlineStr">
        <is>
          <t>Medium</t>
        </is>
      </c>
      <c r="E68" s="190" t="n">
        <v>75</v>
      </c>
      <c r="F68" s="190" t="inlineStr">
        <is>
          <t>CATARI_PILONC1_1</t>
        </is>
      </c>
      <c r="G68" s="190" t="inlineStr">
        <is>
          <t>CATARINA</t>
        </is>
      </c>
      <c r="H68" s="190" t="inlineStr">
        <is>
          <t>PILONCIL</t>
        </is>
      </c>
      <c r="I68" s="190" t="n">
        <v>138</v>
      </c>
      <c r="J68" s="190" t="n">
        <v>7</v>
      </c>
      <c r="K68" s="190" t="n">
        <v>2</v>
      </c>
      <c r="L68" s="190" t="n">
        <v>0</v>
      </c>
      <c r="M68" s="190" t="n">
        <v>0</v>
      </c>
      <c r="N68" s="190" t="inlineStr">
        <is>
          <t>MLOFOAV5</t>
        </is>
      </c>
    </row>
    <row r="69">
      <c r="A69" s="191" t="inlineStr">
        <is>
          <t>W_BATESV-UVALDE 138KV</t>
        </is>
      </c>
      <c r="B69" s="190" t="inlineStr">
        <is>
          <t>Low</t>
        </is>
      </c>
      <c r="C69" s="190" t="n">
        <v>1</v>
      </c>
      <c r="D69" s="192" t="inlineStr">
        <is>
          <t>High</t>
        </is>
      </c>
      <c r="E69" s="190" t="n">
        <v>95</v>
      </c>
      <c r="F69" s="190" t="inlineStr">
        <is>
          <t>UVALDE_W_BATE1_1</t>
        </is>
      </c>
      <c r="G69" s="190" t="inlineStr">
        <is>
          <t>W_BATESV</t>
        </is>
      </c>
      <c r="H69" s="190" t="inlineStr">
        <is>
          <t>UVALDE</t>
        </is>
      </c>
      <c r="I69" s="190" t="n">
        <v>138</v>
      </c>
      <c r="J69" s="190" t="n">
        <v>200</v>
      </c>
      <c r="K69" s="190" t="n">
        <v>10</v>
      </c>
      <c r="L69" s="190" t="n">
        <v>3383.06</v>
      </c>
      <c r="M69" s="190" t="n">
        <v>324.78</v>
      </c>
      <c r="N69" s="190" t="inlineStr">
        <is>
          <t>SDIMBEV8, SMOOPEA8</t>
        </is>
      </c>
    </row>
    <row r="70">
      <c r="A70" s="190" t="n"/>
      <c r="B70" s="190" t="n"/>
      <c r="C70" s="190" t="n">
        <v>2</v>
      </c>
      <c r="D70" s="180" t="inlineStr">
        <is>
          <t>Medium</t>
        </is>
      </c>
      <c r="E70" s="190" t="n">
        <v>75</v>
      </c>
      <c r="F70" s="190" t="inlineStr">
        <is>
          <t>UVALDE_W_BATE1_1</t>
        </is>
      </c>
      <c r="G70" s="190" t="inlineStr">
        <is>
          <t>UVALDE</t>
        </is>
      </c>
      <c r="H70" s="190" t="inlineStr">
        <is>
          <t>W_BATESV</t>
        </is>
      </c>
      <c r="I70" s="190" t="n">
        <v>138</v>
      </c>
      <c r="J70" s="190" t="n">
        <v>51</v>
      </c>
      <c r="K70" s="190" t="n">
        <v>2</v>
      </c>
      <c r="L70" s="190" t="n">
        <v>0</v>
      </c>
      <c r="M70" s="190" t="n">
        <v>0</v>
      </c>
      <c r="N70" s="190" t="inlineStr">
        <is>
          <t>DRAZSA89, SESCSUN8</t>
        </is>
      </c>
    </row>
    <row r="71">
      <c r="A71" s="191" t="inlineStr">
        <is>
          <t>VALEXP</t>
        </is>
      </c>
      <c r="B71" s="190" t="inlineStr">
        <is>
          <t>Low</t>
        </is>
      </c>
      <c r="C71" s="190" t="n">
        <v>1</v>
      </c>
      <c r="D71" s="192" t="inlineStr">
        <is>
          <t>High</t>
        </is>
      </c>
      <c r="E71" s="190" t="n">
        <v>95</v>
      </c>
      <c r="F71" s="190" t="inlineStr">
        <is>
          <t>VALEXP</t>
        </is>
      </c>
      <c r="G71" s="190" t="n"/>
      <c r="H71" s="190" t="n"/>
      <c r="I71" s="190" t="n">
        <v>0</v>
      </c>
      <c r="J71" s="190" t="n">
        <v>361</v>
      </c>
      <c r="K71" s="190" t="n">
        <v>12</v>
      </c>
      <c r="L71" s="190" t="n">
        <v>957.13</v>
      </c>
      <c r="M71" s="190" t="n">
        <v>42.42</v>
      </c>
      <c r="N71" s="190" t="inlineStr">
        <is>
          <t>BASE CASE</t>
        </is>
      </c>
    </row>
    <row r="72">
      <c r="A72" s="191" t="inlineStr">
        <is>
          <t>MDO-PHR 345KV</t>
        </is>
      </c>
      <c r="B72" s="190" t="inlineStr">
        <is>
          <t>Low</t>
        </is>
      </c>
      <c r="C72" s="190" t="n">
        <v>1</v>
      </c>
      <c r="D72" s="192" t="inlineStr">
        <is>
          <t>High</t>
        </is>
      </c>
      <c r="E72" s="190" t="n">
        <v>95</v>
      </c>
      <c r="F72" s="190" t="inlineStr">
        <is>
          <t>MDOPHR99_A</t>
        </is>
      </c>
      <c r="G72" s="190" t="inlineStr">
        <is>
          <t>MDO</t>
        </is>
      </c>
      <c r="H72" s="190" t="inlineStr">
        <is>
          <t>PHR</t>
        </is>
      </c>
      <c r="I72" s="190" t="n">
        <v>345</v>
      </c>
      <c r="J72" s="190" t="n">
        <v>9645</v>
      </c>
      <c r="K72" s="190" t="n">
        <v>103</v>
      </c>
      <c r="L72" s="190" t="n">
        <v>219334.24</v>
      </c>
      <c r="M72" s="190" t="n">
        <v>803</v>
      </c>
      <c r="N72" s="190" t="inlineStr">
        <is>
          <t>BASE CASE, DKG_NB_5, DPHRCTR5, DRNS_TB5</t>
        </is>
      </c>
    </row>
    <row r="73">
      <c r="A73" s="191" t="inlineStr">
        <is>
          <t>NVKSW-ANARN 69KV</t>
        </is>
      </c>
      <c r="B73" s="190" t="inlineStr">
        <is>
          <t>Low</t>
        </is>
      </c>
      <c r="C73" s="190" t="n">
        <v>1</v>
      </c>
      <c r="D73" s="192" t="inlineStr">
        <is>
          <t>High</t>
        </is>
      </c>
      <c r="E73" s="190" t="n">
        <v>95</v>
      </c>
      <c r="F73" s="190" t="inlineStr">
        <is>
          <t>6840__B</t>
        </is>
      </c>
      <c r="G73" s="190" t="inlineStr">
        <is>
          <t>NVKSW</t>
        </is>
      </c>
      <c r="H73" s="190" t="inlineStr">
        <is>
          <t>ANARN</t>
        </is>
      </c>
      <c r="I73" s="190" t="n">
        <v>69</v>
      </c>
      <c r="J73" s="190" t="n">
        <v>3353</v>
      </c>
      <c r="K73" s="190" t="n">
        <v>52</v>
      </c>
      <c r="L73" s="190" t="n">
        <v>232704.62</v>
      </c>
      <c r="M73" s="190" t="n">
        <v>866.89</v>
      </c>
      <c r="N73" s="190" t="inlineStr">
        <is>
          <t>DMGSRIC8, SRICGRS8, SSCLWF18</t>
        </is>
      </c>
    </row>
    <row r="74">
      <c r="A74" s="191" t="inlineStr">
        <is>
          <t>OZONA-MIDW 69KV</t>
        </is>
      </c>
      <c r="B74" s="190" t="inlineStr">
        <is>
          <t>Low</t>
        </is>
      </c>
      <c r="C74" s="190" t="n">
        <v>1</v>
      </c>
      <c r="D74" s="192" t="inlineStr">
        <is>
          <t>High</t>
        </is>
      </c>
      <c r="E74" s="190" t="n">
        <v>95</v>
      </c>
      <c r="F74" s="190" t="inlineStr">
        <is>
          <t>MIDW_OZONA1_1</t>
        </is>
      </c>
      <c r="G74" s="190" t="inlineStr">
        <is>
          <t>OZONA</t>
        </is>
      </c>
      <c r="H74" s="190" t="inlineStr">
        <is>
          <t>MIDW</t>
        </is>
      </c>
      <c r="I74" s="190" t="n">
        <v>69</v>
      </c>
      <c r="J74" s="190" t="n">
        <v>853</v>
      </c>
      <c r="K74" s="190" t="n">
        <v>8</v>
      </c>
      <c r="L74" s="190" t="n">
        <v>243077.53</v>
      </c>
      <c r="M74" s="190" t="n">
        <v>2800</v>
      </c>
      <c r="N74" s="190" t="inlineStr">
        <is>
          <t>DILLFR89, SCROPAL8, SFTLMES8, SSANOWL8</t>
        </is>
      </c>
    </row>
    <row r="75">
      <c r="A75" s="191" t="inlineStr">
        <is>
          <t>TMPSW-TMPCR 345KV</t>
        </is>
      </c>
      <c r="B75" s="190" t="inlineStr">
        <is>
          <t>Low</t>
        </is>
      </c>
      <c r="C75" s="190" t="n">
        <v>1</v>
      </c>
      <c r="D75" s="192" t="inlineStr">
        <is>
          <t>High</t>
        </is>
      </c>
      <c r="E75" s="190" t="n">
        <v>95</v>
      </c>
      <c r="F75" s="190" t="inlineStr">
        <is>
          <t>300__A</t>
        </is>
      </c>
      <c r="G75" s="190" t="inlineStr">
        <is>
          <t>TMPSW</t>
        </is>
      </c>
      <c r="H75" s="190" t="inlineStr">
        <is>
          <t>TMPCR</t>
        </is>
      </c>
      <c r="I75" s="190" t="n">
        <v>345</v>
      </c>
      <c r="J75" s="190" t="n">
        <v>32</v>
      </c>
      <c r="K75" s="190" t="n">
        <v>1</v>
      </c>
      <c r="L75" s="190" t="n">
        <v>195.63</v>
      </c>
      <c r="M75" s="190" t="n">
        <v>30.75</v>
      </c>
      <c r="N75" s="190" t="inlineStr">
        <is>
          <t>STMPTMP5</t>
        </is>
      </c>
    </row>
    <row r="76">
      <c r="A76" s="190" t="n"/>
      <c r="B76" s="190" t="n"/>
      <c r="C76" s="190" t="n">
        <v>2</v>
      </c>
      <c r="D76" s="180" t="inlineStr">
        <is>
          <t>Medium</t>
        </is>
      </c>
      <c r="E76" s="190" t="n">
        <v>75</v>
      </c>
      <c r="F76" s="190" t="inlineStr">
        <is>
          <t>315__A</t>
        </is>
      </c>
      <c r="G76" s="190" t="inlineStr">
        <is>
          <t>TMPCR</t>
        </is>
      </c>
      <c r="H76" s="190" t="inlineStr">
        <is>
          <t>TMPSW</t>
        </is>
      </c>
      <c r="I76" s="190" t="n">
        <v>345</v>
      </c>
      <c r="J76" s="190" t="n">
        <v>173</v>
      </c>
      <c r="K76" s="190" t="n">
        <v>3</v>
      </c>
      <c r="L76" s="190" t="n">
        <v>3590.71</v>
      </c>
      <c r="M76" s="190" t="n">
        <v>149.32</v>
      </c>
      <c r="N76" s="190" t="inlineStr">
        <is>
          <t>DSALKLN5</t>
        </is>
      </c>
    </row>
    <row r="77">
      <c r="A77" s="190" t="n"/>
      <c r="B77" s="190" t="n"/>
      <c r="C77" s="190" t="n">
        <v>3</v>
      </c>
      <c r="D77" s="180" t="inlineStr">
        <is>
          <t>Medium</t>
        </is>
      </c>
      <c r="E77" s="190" t="n">
        <v>75</v>
      </c>
      <c r="F77" s="190" t="inlineStr">
        <is>
          <t>300__A</t>
        </is>
      </c>
      <c r="G77" s="190" t="inlineStr">
        <is>
          <t>TMPCR</t>
        </is>
      </c>
      <c r="H77" s="190" t="inlineStr">
        <is>
          <t>TMPSW</t>
        </is>
      </c>
      <c r="I77" s="190" t="n">
        <v>345</v>
      </c>
      <c r="J77" s="190" t="n">
        <v>121</v>
      </c>
      <c r="K77" s="190" t="n">
        <v>2</v>
      </c>
      <c r="L77" s="190" t="n">
        <v>58.56</v>
      </c>
      <c r="M77" s="190" t="n">
        <v>15.56</v>
      </c>
      <c r="N77" s="190" t="inlineStr">
        <is>
          <t>DSALHUT5, STMPTMP5</t>
        </is>
      </c>
    </row>
    <row r="78">
      <c r="A78" s="190" t="n"/>
      <c r="B78" s="190" t="n"/>
      <c r="C78" s="190" t="n">
        <v>4</v>
      </c>
      <c r="D78" s="173" t="inlineStr">
        <is>
          <t>Low</t>
        </is>
      </c>
      <c r="E78" s="190" t="n">
        <v>55</v>
      </c>
      <c r="F78" s="190" t="inlineStr">
        <is>
          <t>1295__A</t>
        </is>
      </c>
      <c r="G78" s="190" t="inlineStr">
        <is>
          <t>TMPCR</t>
        </is>
      </c>
      <c r="H78" s="190" t="inlineStr">
        <is>
          <t>TMPSW</t>
        </is>
      </c>
      <c r="I78" s="190" t="n">
        <v>138</v>
      </c>
      <c r="J78" s="190" t="n">
        <v>516</v>
      </c>
      <c r="K78" s="190" t="n">
        <v>7</v>
      </c>
      <c r="L78" s="190" t="n">
        <v>26253.53</v>
      </c>
      <c r="M78" s="190" t="n">
        <v>438.15</v>
      </c>
      <c r="N78" s="190" t="inlineStr">
        <is>
          <t>DTMETMP8</t>
        </is>
      </c>
    </row>
    <row r="79">
      <c r="A79" s="191" t="inlineStr">
        <is>
          <t>ZEN-THW 345KV</t>
        </is>
      </c>
      <c r="B79" s="190" t="inlineStr">
        <is>
          <t>Low</t>
        </is>
      </c>
      <c r="C79" s="190" t="n">
        <v>1</v>
      </c>
      <c r="D79" s="192" t="inlineStr">
        <is>
          <t>High</t>
        </is>
      </c>
      <c r="E79" s="190" t="n">
        <v>95</v>
      </c>
      <c r="F79" s="190" t="inlineStr">
        <is>
          <t>THWZEN98_A</t>
        </is>
      </c>
      <c r="G79" s="190" t="inlineStr">
        <is>
          <t>ZEN</t>
        </is>
      </c>
      <c r="H79" s="190" t="inlineStr">
        <is>
          <t>THW</t>
        </is>
      </c>
      <c r="I79" s="190" t="n">
        <v>345</v>
      </c>
      <c r="J79" s="190" t="n">
        <v>5047</v>
      </c>
      <c r="K79" s="190" t="n">
        <v>66</v>
      </c>
      <c r="L79" s="190" t="n">
        <v>107847.58</v>
      </c>
      <c r="M79" s="190" t="n">
        <v>419.21</v>
      </c>
      <c r="N79" s="190" t="inlineStr">
        <is>
          <t>DRNS_TB5, DSNG_TB5, DZEN_OB5, SZENTHW5</t>
        </is>
      </c>
    </row>
    <row r="80">
      <c r="A80" s="190" t="n"/>
      <c r="B80" s="190" t="n"/>
      <c r="C80" s="190" t="n">
        <v>2</v>
      </c>
      <c r="D80" s="192" t="inlineStr">
        <is>
          <t>High</t>
        </is>
      </c>
      <c r="E80" s="190" t="n">
        <v>95</v>
      </c>
      <c r="F80" s="190" t="inlineStr">
        <is>
          <t>THWZEN71_A</t>
        </is>
      </c>
      <c r="G80" s="190" t="inlineStr">
        <is>
          <t>ZEN</t>
        </is>
      </c>
      <c r="H80" s="190" t="inlineStr">
        <is>
          <t>THW</t>
        </is>
      </c>
      <c r="I80" s="190" t="n">
        <v>345</v>
      </c>
      <c r="J80" s="190" t="n">
        <v>1463</v>
      </c>
      <c r="K80" s="190" t="n">
        <v>22</v>
      </c>
      <c r="L80" s="190" t="n">
        <v>16691.07</v>
      </c>
      <c r="M80" s="190" t="n">
        <v>339.27</v>
      </c>
      <c r="N80" s="190" t="inlineStr">
        <is>
          <t>DRNS_TB5, SZENTH35</t>
        </is>
      </c>
    </row>
    <row r="81">
      <c r="A81" s="191" t="inlineStr">
        <is>
          <t>DOW-OAS 345KV</t>
        </is>
      </c>
      <c r="B81" s="190" t="inlineStr">
        <is>
          <t>Low</t>
        </is>
      </c>
      <c r="C81" s="190" t="n">
        <v>1</v>
      </c>
      <c r="D81" s="192" t="inlineStr">
        <is>
          <t>High</t>
        </is>
      </c>
      <c r="E81" s="190" t="n">
        <v>95</v>
      </c>
      <c r="F81" s="190" t="inlineStr">
        <is>
          <t>DOWOAS18_A</t>
        </is>
      </c>
      <c r="G81" s="190" t="inlineStr">
        <is>
          <t>DOW</t>
        </is>
      </c>
      <c r="H81" s="190" t="inlineStr">
        <is>
          <t>OAS</t>
        </is>
      </c>
      <c r="I81" s="190" t="n">
        <v>345</v>
      </c>
      <c r="J81" s="190" t="n">
        <v>613</v>
      </c>
      <c r="K81" s="190" t="n">
        <v>10</v>
      </c>
      <c r="L81" s="190" t="n">
        <v>20757.02</v>
      </c>
      <c r="M81" s="190" t="n">
        <v>280.75</v>
      </c>
      <c r="N81" s="190" t="inlineStr">
        <is>
          <t>DWPWFWP5</t>
        </is>
      </c>
    </row>
    <row r="82">
      <c r="A82" s="191" t="inlineStr">
        <is>
          <t>MAVERICK-HAMILTON 138KV</t>
        </is>
      </c>
      <c r="B82" s="190" t="inlineStr">
        <is>
          <t>Low</t>
        </is>
      </c>
      <c r="C82" s="190" t="n">
        <v>1</v>
      </c>
      <c r="D82" s="192" t="inlineStr">
        <is>
          <t>High</t>
        </is>
      </c>
      <c r="E82" s="190" t="n">
        <v>95</v>
      </c>
      <c r="F82" s="190" t="inlineStr">
        <is>
          <t>HAMILT_MAVERI1_1</t>
        </is>
      </c>
      <c r="G82" s="190" t="inlineStr">
        <is>
          <t>MAVERICK</t>
        </is>
      </c>
      <c r="H82" s="190" t="inlineStr">
        <is>
          <t>HAMILTON</t>
        </is>
      </c>
      <c r="I82" s="190" t="n">
        <v>138</v>
      </c>
      <c r="J82" s="190" t="n">
        <v>43</v>
      </c>
      <c r="K82" s="190" t="n">
        <v>1</v>
      </c>
      <c r="L82" s="190" t="n">
        <v>1099.7</v>
      </c>
      <c r="M82" s="190" t="n">
        <v>169.19</v>
      </c>
      <c r="N82" s="190" t="inlineStr">
        <is>
          <t>SBRAHAM8</t>
        </is>
      </c>
    </row>
    <row r="83">
      <c r="A83" s="190" t="n"/>
      <c r="B83" s="190" t="n"/>
      <c r="C83" s="190" t="n">
        <v>2</v>
      </c>
      <c r="D83" s="180" t="inlineStr">
        <is>
          <t>Medium</t>
        </is>
      </c>
      <c r="E83" s="190" t="n">
        <v>75</v>
      </c>
      <c r="F83" s="190" t="inlineStr">
        <is>
          <t>HAMILT_MAVERI1_1</t>
        </is>
      </c>
      <c r="G83" s="190" t="inlineStr">
        <is>
          <t>HAMILTON</t>
        </is>
      </c>
      <c r="H83" s="190" t="inlineStr">
        <is>
          <t>MAVERICK</t>
        </is>
      </c>
      <c r="I83" s="190" t="n">
        <v>138</v>
      </c>
      <c r="J83" s="190" t="n">
        <v>2537</v>
      </c>
      <c r="K83" s="190" t="n">
        <v>33</v>
      </c>
      <c r="L83" s="190" t="n">
        <v>52186.04</v>
      </c>
      <c r="M83" s="190" t="n">
        <v>226.71</v>
      </c>
      <c r="N83" s="190" t="inlineStr">
        <is>
          <t>SBRAESC8, SBRAHAM8, SBRAPIN8</t>
        </is>
      </c>
    </row>
    <row r="84">
      <c r="A84" s="191" t="inlineStr">
        <is>
          <t>GANSO-MAVERICK 138KV</t>
        </is>
      </c>
      <c r="B84" s="190" t="inlineStr">
        <is>
          <t>Low</t>
        </is>
      </c>
      <c r="C84" s="190" t="n">
        <v>1</v>
      </c>
      <c r="D84" s="192" t="inlineStr">
        <is>
          <t>High</t>
        </is>
      </c>
      <c r="E84" s="190" t="n">
        <v>85</v>
      </c>
      <c r="F84" s="190" t="inlineStr">
        <is>
          <t>GANSO_MAVERI1_1</t>
        </is>
      </c>
      <c r="G84" s="190" t="inlineStr">
        <is>
          <t>MAVERICK</t>
        </is>
      </c>
      <c r="H84" s="190" t="inlineStr">
        <is>
          <t>GANSO</t>
        </is>
      </c>
      <c r="I84" s="190" t="n">
        <v>138</v>
      </c>
      <c r="J84" s="190" t="n">
        <v>27</v>
      </c>
      <c r="K84" s="190" t="n">
        <v>2</v>
      </c>
      <c r="L84" s="190" t="n">
        <v>0</v>
      </c>
      <c r="M84" s="190" t="n">
        <v>0</v>
      </c>
      <c r="N84" s="190" t="inlineStr">
        <is>
          <t>SBRAPIN8</t>
        </is>
      </c>
    </row>
    <row r="85">
      <c r="A85" s="191" t="inlineStr">
        <is>
          <t>RIOHONDO-MV_BURNS 138KV</t>
        </is>
      </c>
      <c r="B85" s="190" t="inlineStr">
        <is>
          <t>Low</t>
        </is>
      </c>
      <c r="C85" s="190" t="n">
        <v>1</v>
      </c>
      <c r="D85" s="192" t="inlineStr">
        <is>
          <t>High</t>
        </is>
      </c>
      <c r="E85" s="190" t="n">
        <v>95</v>
      </c>
      <c r="F85" s="190" t="inlineStr">
        <is>
          <t>BURNS_RIOHONDO_1</t>
        </is>
      </c>
      <c r="G85" s="190" t="inlineStr">
        <is>
          <t>RIOHONDO</t>
        </is>
      </c>
      <c r="H85" s="190" t="inlineStr">
        <is>
          <t>MV_BURNS</t>
        </is>
      </c>
      <c r="I85" s="190" t="n">
        <v>138</v>
      </c>
      <c r="J85" s="190" t="n">
        <v>12</v>
      </c>
      <c r="K85" s="190" t="n">
        <v>1</v>
      </c>
      <c r="L85" s="190" t="n">
        <v>0</v>
      </c>
      <c r="M85" s="190" t="n">
        <v>0</v>
      </c>
      <c r="N85" s="190" t="inlineStr">
        <is>
          <t>BASE CASE</t>
        </is>
      </c>
    </row>
    <row r="86">
      <c r="A86" s="191" t="inlineStr">
        <is>
          <t>MADDUX-SAPOWER 138KV</t>
        </is>
      </c>
      <c r="B86" s="190" t="inlineStr">
        <is>
          <t>Low</t>
        </is>
      </c>
      <c r="C86" s="190" t="n">
        <v>1</v>
      </c>
      <c r="D86" s="192" t="inlineStr">
        <is>
          <t>High</t>
        </is>
      </c>
      <c r="E86" s="190" t="n">
        <v>95</v>
      </c>
      <c r="F86" s="190" t="inlineStr">
        <is>
          <t>MADDUX_SAPOWE1_1</t>
        </is>
      </c>
      <c r="G86" s="190" t="inlineStr">
        <is>
          <t>MADDUX</t>
        </is>
      </c>
      <c r="H86" s="190" t="inlineStr">
        <is>
          <t>SAPOWER</t>
        </is>
      </c>
      <c r="I86" s="190" t="n">
        <v>138</v>
      </c>
      <c r="J86" s="190" t="n">
        <v>499</v>
      </c>
      <c r="K86" s="190" t="n">
        <v>13</v>
      </c>
      <c r="L86" s="190" t="n">
        <v>9301.450000000001</v>
      </c>
      <c r="M86" s="190" t="n">
        <v>256.03</v>
      </c>
      <c r="N86" s="190" t="inlineStr">
        <is>
          <t>SMA2SAP8</t>
        </is>
      </c>
    </row>
    <row r="87">
      <c r="A87" s="190" t="n"/>
      <c r="B87" s="190" t="n"/>
      <c r="C87" s="190" t="n">
        <v>2</v>
      </c>
      <c r="D87" s="192" t="inlineStr">
        <is>
          <t>High</t>
        </is>
      </c>
      <c r="E87" s="190" t="n">
        <v>85</v>
      </c>
      <c r="F87" s="190" t="inlineStr">
        <is>
          <t>MADDUX_SAPOWE1_1</t>
        </is>
      </c>
      <c r="G87" s="190" t="inlineStr">
        <is>
          <t>SAPOWER</t>
        </is>
      </c>
      <c r="H87" s="190" t="inlineStr">
        <is>
          <t>MADDUX</t>
        </is>
      </c>
      <c r="I87" s="190" t="n">
        <v>138</v>
      </c>
      <c r="J87" s="190" t="n">
        <v>176</v>
      </c>
      <c r="K87" s="190" t="n">
        <v>10</v>
      </c>
      <c r="L87" s="190" t="n">
        <v>4068.29</v>
      </c>
      <c r="M87" s="190" t="n">
        <v>684.54</v>
      </c>
      <c r="N87" s="190" t="inlineStr">
        <is>
          <t>SMA2SAP8</t>
        </is>
      </c>
    </row>
    <row r="88">
      <c r="A88" s="191" t="inlineStr">
        <is>
          <t>ODESA-ODNTH 138KV</t>
        </is>
      </c>
      <c r="B88" s="190" t="inlineStr">
        <is>
          <t>Low</t>
        </is>
      </c>
      <c r="C88" s="190" t="n">
        <v>1</v>
      </c>
      <c r="D88" s="192" t="inlineStr">
        <is>
          <t>High</t>
        </is>
      </c>
      <c r="E88" s="190" t="n">
        <v>95</v>
      </c>
      <c r="F88" s="190" t="inlineStr">
        <is>
          <t>6513__A</t>
        </is>
      </c>
      <c r="G88" s="190" t="inlineStr">
        <is>
          <t>ODESA</t>
        </is>
      </c>
      <c r="H88" s="190" t="inlineStr">
        <is>
          <t>ODNTH</t>
        </is>
      </c>
      <c r="I88" s="190" t="n">
        <v>138</v>
      </c>
      <c r="J88" s="190" t="n">
        <v>20</v>
      </c>
      <c r="K88" s="190" t="n">
        <v>1</v>
      </c>
      <c r="L88" s="190" t="n">
        <v>382.96</v>
      </c>
      <c r="M88" s="190" t="n">
        <v>89.58</v>
      </c>
      <c r="N88" s="190" t="inlineStr">
        <is>
          <t>DODEMOS5</t>
        </is>
      </c>
    </row>
    <row r="89">
      <c r="A89" s="191" t="inlineStr">
        <is>
          <t>KENDAL-BERGHE 345KV</t>
        </is>
      </c>
      <c r="B89" s="190" t="inlineStr">
        <is>
          <t>Low</t>
        </is>
      </c>
      <c r="C89" s="190" t="n">
        <v>1</v>
      </c>
      <c r="D89" s="192" t="inlineStr">
        <is>
          <t>High</t>
        </is>
      </c>
      <c r="E89" s="190" t="n">
        <v>95</v>
      </c>
      <c r="F89" s="190" t="inlineStr">
        <is>
          <t>656T656_1</t>
        </is>
      </c>
      <c r="G89" s="190" t="inlineStr">
        <is>
          <t>KENDAL</t>
        </is>
      </c>
      <c r="H89" s="190" t="inlineStr">
        <is>
          <t>BERGHE</t>
        </is>
      </c>
      <c r="I89" s="190" t="n">
        <v>345</v>
      </c>
      <c r="J89" s="190" t="n">
        <v>780</v>
      </c>
      <c r="K89" s="190" t="n">
        <v>12</v>
      </c>
      <c r="L89" s="190" t="n">
        <v>10183.48</v>
      </c>
      <c r="M89" s="190" t="n">
        <v>137.57</v>
      </c>
      <c r="N89" s="190" t="inlineStr">
        <is>
          <t>DCAGCI58, DCAGCO58</t>
        </is>
      </c>
    </row>
    <row r="90">
      <c r="A90" s="191" t="inlineStr">
        <is>
          <t>DOWNIES-MOORE 138KV</t>
        </is>
      </c>
      <c r="B90" s="190" t="inlineStr">
        <is>
          <t>Low</t>
        </is>
      </c>
      <c r="C90" s="190" t="n">
        <v>1</v>
      </c>
      <c r="D90" s="192" t="inlineStr">
        <is>
          <t>High</t>
        </is>
      </c>
      <c r="E90" s="190" t="n">
        <v>95</v>
      </c>
      <c r="F90" s="190" t="inlineStr">
        <is>
          <t>2585_1</t>
        </is>
      </c>
      <c r="G90" s="190" t="inlineStr">
        <is>
          <t>DOWNIES</t>
        </is>
      </c>
      <c r="H90" s="190" t="inlineStr">
        <is>
          <t>MOORE</t>
        </is>
      </c>
      <c r="I90" s="190" t="n">
        <v>138</v>
      </c>
      <c r="J90" s="190" t="n">
        <v>286</v>
      </c>
      <c r="K90" s="190" t="n">
        <v>12</v>
      </c>
      <c r="L90" s="190" t="n">
        <v>2574.3</v>
      </c>
      <c r="M90" s="190" t="n">
        <v>95.41</v>
      </c>
      <c r="N90" s="190" t="inlineStr">
        <is>
          <t>DRAZSA89, SRA2D18</t>
        </is>
      </c>
    </row>
    <row r="91">
      <c r="A91" s="191" t="inlineStr">
        <is>
          <t>TNFXTAIL-FLAT_TOP 138KV</t>
        </is>
      </c>
      <c r="B91" s="190" t="inlineStr">
        <is>
          <t>Low</t>
        </is>
      </c>
      <c r="C91" s="190" t="n">
        <v>1</v>
      </c>
      <c r="D91" s="192" t="inlineStr">
        <is>
          <t>High</t>
        </is>
      </c>
      <c r="E91" s="190" t="n">
        <v>95</v>
      </c>
      <c r="F91" s="190" t="inlineStr">
        <is>
          <t>138_FLT_FXT_1</t>
        </is>
      </c>
      <c r="G91" s="190" t="inlineStr">
        <is>
          <t>TNFXTAIL</t>
        </is>
      </c>
      <c r="H91" s="190" t="inlineStr">
        <is>
          <t>FLAT_TOP</t>
        </is>
      </c>
      <c r="I91" s="190" t="n">
        <v>138</v>
      </c>
      <c r="J91" s="190" t="n">
        <v>192</v>
      </c>
      <c r="K91" s="190" t="n">
        <v>7</v>
      </c>
      <c r="L91" s="190" t="n">
        <v>690.78</v>
      </c>
      <c r="M91" s="190" t="n">
        <v>33.01</v>
      </c>
      <c r="N91" s="190" t="inlineStr">
        <is>
          <t>DSLKSOL5</t>
        </is>
      </c>
    </row>
    <row r="92">
      <c r="A92" s="191" t="inlineStr">
        <is>
          <t>EXCSW-RNKSW 345KV</t>
        </is>
      </c>
      <c r="B92" s="190" t="inlineStr">
        <is>
          <t>Low</t>
        </is>
      </c>
      <c r="C92" s="190" t="n">
        <v>1</v>
      </c>
      <c r="D92" s="192" t="inlineStr">
        <is>
          <t>High</t>
        </is>
      </c>
      <c r="E92" s="190" t="n">
        <v>95</v>
      </c>
      <c r="F92" s="190" t="inlineStr">
        <is>
          <t>109__A</t>
        </is>
      </c>
      <c r="G92" s="190" t="inlineStr">
        <is>
          <t>EXCSW</t>
        </is>
      </c>
      <c r="H92" s="190" t="inlineStr">
        <is>
          <t>RNKSW</t>
        </is>
      </c>
      <c r="I92" s="190" t="n">
        <v>345</v>
      </c>
      <c r="J92" s="190" t="n">
        <v>20</v>
      </c>
      <c r="K92" s="190" t="n">
        <v>1</v>
      </c>
      <c r="L92" s="190" t="n">
        <v>932.74</v>
      </c>
      <c r="M92" s="190" t="n">
        <v>155.96</v>
      </c>
      <c r="N92" s="190" t="inlineStr">
        <is>
          <t>MKRWDHM5</t>
        </is>
      </c>
    </row>
    <row r="93">
      <c r="A93" s="191" t="inlineStr">
        <is>
          <t>I_KALO</t>
        </is>
      </c>
      <c r="B93" s="190" t="inlineStr">
        <is>
          <t>Low</t>
        </is>
      </c>
      <c r="C93" s="190" t="n">
        <v>1</v>
      </c>
      <c r="D93" s="192" t="inlineStr">
        <is>
          <t>High</t>
        </is>
      </c>
      <c r="E93" s="190" t="n">
        <v>95</v>
      </c>
      <c r="F93" s="190" t="inlineStr">
        <is>
          <t>I_KALO</t>
        </is>
      </c>
      <c r="G93" s="190" t="n"/>
      <c r="H93" s="190" t="n"/>
      <c r="I93" s="190" t="n">
        <v>0</v>
      </c>
      <c r="J93" s="190" t="n">
        <v>602</v>
      </c>
      <c r="K93" s="190" t="n">
        <v>13</v>
      </c>
      <c r="L93" s="190" t="n">
        <v>79.09999999999999</v>
      </c>
      <c r="M93" s="190" t="n">
        <v>78.33</v>
      </c>
      <c r="N93" s="190" t="inlineStr">
        <is>
          <t>BASE CASE</t>
        </is>
      </c>
    </row>
    <row r="94">
      <c r="A94" s="191" t="inlineStr">
        <is>
          <t>BLESSING 345KV</t>
        </is>
      </c>
      <c r="B94" s="190" t="inlineStr">
        <is>
          <t>Low</t>
        </is>
      </c>
      <c r="C94" s="190" t="n">
        <v>1</v>
      </c>
      <c r="D94" s="180" t="inlineStr">
        <is>
          <t>Medium</t>
        </is>
      </c>
      <c r="E94" s="190" t="n">
        <v>75</v>
      </c>
      <c r="F94" s="190" t="inlineStr">
        <is>
          <t>BLESSING_1382</t>
        </is>
      </c>
      <c r="G94" s="190" t="inlineStr">
        <is>
          <t>BLESSING</t>
        </is>
      </c>
      <c r="H94" s="190" t="inlineStr">
        <is>
          <t>BLESSING</t>
        </is>
      </c>
      <c r="I94" s="190" t="n">
        <v>345</v>
      </c>
      <c r="J94" s="190" t="n">
        <v>5490</v>
      </c>
      <c r="K94" s="190" t="n">
        <v>45</v>
      </c>
      <c r="L94" s="190" t="n">
        <v>217011.63</v>
      </c>
      <c r="M94" s="190" t="n">
        <v>2252.34</v>
      </c>
      <c r="N94" s="190" t="inlineStr">
        <is>
          <t>DELMNHK5, DELMTEX5, DREFSTP5, DSTPREF5</t>
        </is>
      </c>
    </row>
    <row r="95">
      <c r="A95" s="190" t="n"/>
      <c r="B95" s="190" t="n"/>
      <c r="C95" s="190" t="n">
        <v>2</v>
      </c>
      <c r="D95" s="173" t="inlineStr">
        <is>
          <t>Low</t>
        </is>
      </c>
      <c r="E95" s="190" t="n">
        <v>55</v>
      </c>
      <c r="F95" s="190" t="inlineStr">
        <is>
          <t>BLESSI_PAVLOV1_1</t>
        </is>
      </c>
      <c r="G95" s="190" t="inlineStr">
        <is>
          <t>BLESSING</t>
        </is>
      </c>
      <c r="H95" s="190" t="inlineStr">
        <is>
          <t>PAVLOV</t>
        </is>
      </c>
      <c r="I95" s="190" t="n">
        <v>138</v>
      </c>
      <c r="J95" s="190" t="n">
        <v>1536</v>
      </c>
      <c r="K95" s="190" t="n">
        <v>20</v>
      </c>
      <c r="L95" s="190" t="n">
        <v>201438.18</v>
      </c>
      <c r="M95" s="190" t="n">
        <v>1644.3</v>
      </c>
      <c r="N95" s="190" t="inlineStr">
        <is>
          <t>DWLFHLJ5, DWPWFWP5, SLANARR8, SSANPYT8</t>
        </is>
      </c>
    </row>
    <row r="96">
      <c r="A96" s="190" t="n"/>
      <c r="B96" s="190" t="n"/>
      <c r="C96" s="190" t="n">
        <v>3</v>
      </c>
      <c r="D96" s="173" t="inlineStr">
        <is>
          <t>Low</t>
        </is>
      </c>
      <c r="E96" s="190" t="n">
        <v>55</v>
      </c>
      <c r="F96" s="190" t="inlineStr">
        <is>
          <t>BLESSING_69A1</t>
        </is>
      </c>
      <c r="G96" s="190" t="inlineStr">
        <is>
          <t>BLESSING</t>
        </is>
      </c>
      <c r="H96" s="190" t="inlineStr">
        <is>
          <t>BLESSING</t>
        </is>
      </c>
      <c r="I96" s="190" t="n">
        <v>138</v>
      </c>
      <c r="J96" s="190" t="n">
        <v>180</v>
      </c>
      <c r="K96" s="190" t="n">
        <v>3</v>
      </c>
      <c r="L96" s="190" t="n">
        <v>10199.33</v>
      </c>
      <c r="M96" s="190" t="n">
        <v>1195.38</v>
      </c>
      <c r="N96" s="190" t="inlineStr">
        <is>
          <t>SANGSTA5, SDANBLE8, SEL_ARR8</t>
        </is>
      </c>
    </row>
    <row r="97">
      <c r="A97" s="190" t="n"/>
      <c r="B97" s="190" t="n"/>
      <c r="C97" s="190" t="n">
        <v>4</v>
      </c>
      <c r="D97" s="173" t="inlineStr">
        <is>
          <t>Low</t>
        </is>
      </c>
      <c r="E97" s="190" t="n">
        <v>55</v>
      </c>
      <c r="F97" s="190" t="inlineStr">
        <is>
          <t>BLESSI_PALACI1_1</t>
        </is>
      </c>
      <c r="G97" s="190" t="inlineStr">
        <is>
          <t>BLESSING</t>
        </is>
      </c>
      <c r="H97" s="190" t="inlineStr">
        <is>
          <t>PALACIOS</t>
        </is>
      </c>
      <c r="I97" s="190" t="n">
        <v>69</v>
      </c>
      <c r="J97" s="190" t="n">
        <v>89</v>
      </c>
      <c r="K97" s="190" t="n">
        <v>2</v>
      </c>
      <c r="L97" s="190" t="n">
        <v>22738.27</v>
      </c>
      <c r="M97" s="190" t="n">
        <v>1479.52</v>
      </c>
      <c r="N97" s="190" t="inlineStr">
        <is>
          <t>SANGSTA5</t>
        </is>
      </c>
    </row>
    <row r="98">
      <c r="A98" s="190" t="n"/>
      <c r="B98" s="190" t="n"/>
      <c r="C98" s="190" t="n">
        <v>5</v>
      </c>
      <c r="D98" s="173" t="inlineStr">
        <is>
          <t>Low</t>
        </is>
      </c>
      <c r="E98" s="190" t="n">
        <v>55</v>
      </c>
      <c r="F98" s="190" t="inlineStr">
        <is>
          <t>BLESSI_LOLITA1_1</t>
        </is>
      </c>
      <c r="G98" s="190" t="inlineStr">
        <is>
          <t>LOLITA</t>
        </is>
      </c>
      <c r="H98" s="190" t="inlineStr">
        <is>
          <t>BLESSING</t>
        </is>
      </c>
      <c r="I98" s="190" t="n">
        <v>138</v>
      </c>
      <c r="J98" s="190" t="n">
        <v>46</v>
      </c>
      <c r="K98" s="190" t="n">
        <v>2</v>
      </c>
      <c r="L98" s="190" t="n">
        <v>0</v>
      </c>
      <c r="M98" s="190" t="n">
        <v>0</v>
      </c>
      <c r="N98" s="190" t="inlineStr">
        <is>
          <t>DSTEXP12, SANGSTA5</t>
        </is>
      </c>
    </row>
    <row r="99">
      <c r="A99" s="191" t="inlineStr">
        <is>
          <t>SANA 138KV</t>
        </is>
      </c>
      <c r="B99" s="190" t="inlineStr">
        <is>
          <t>Low</t>
        </is>
      </c>
      <c r="C99" s="190" t="n">
        <v>1</v>
      </c>
      <c r="D99" s="180" t="inlineStr">
        <is>
          <t>Medium</t>
        </is>
      </c>
      <c r="E99" s="190" t="n">
        <v>75</v>
      </c>
      <c r="F99" s="190" t="inlineStr">
        <is>
          <t>SANA_FMR1</t>
        </is>
      </c>
      <c r="G99" s="190" t="inlineStr">
        <is>
          <t>SANA</t>
        </is>
      </c>
      <c r="H99" s="190" t="inlineStr">
        <is>
          <t>SANA</t>
        </is>
      </c>
      <c r="I99" s="190" t="n">
        <v>138</v>
      </c>
      <c r="J99" s="190" t="n">
        <v>148</v>
      </c>
      <c r="K99" s="190" t="n">
        <v>3</v>
      </c>
      <c r="L99" s="190" t="n">
        <v>96021.75</v>
      </c>
      <c r="M99" s="190" t="n">
        <v>3500</v>
      </c>
      <c r="N99" s="190" t="inlineStr">
        <is>
          <t>SCOLBAL8</t>
        </is>
      </c>
    </row>
    <row r="100">
      <c r="A100" s="191" t="inlineStr">
        <is>
          <t>ESTLD-MRVLY 69KV</t>
        </is>
      </c>
      <c r="B100" s="190" t="inlineStr">
        <is>
          <t>Low</t>
        </is>
      </c>
      <c r="C100" s="190" t="n">
        <v>1</v>
      </c>
      <c r="D100" s="180" t="inlineStr">
        <is>
          <t>Medium</t>
        </is>
      </c>
      <c r="E100" s="190" t="n">
        <v>75</v>
      </c>
      <c r="F100" s="190" t="inlineStr">
        <is>
          <t>6635__G</t>
        </is>
      </c>
      <c r="G100" s="190" t="inlineStr">
        <is>
          <t>MRVLY</t>
        </is>
      </c>
      <c r="H100" s="190" t="inlineStr">
        <is>
          <t>ESTLD</t>
        </is>
      </c>
      <c r="I100" s="190" t="n">
        <v>69</v>
      </c>
      <c r="J100" s="190" t="n">
        <v>1949</v>
      </c>
      <c r="K100" s="190" t="n">
        <v>34</v>
      </c>
      <c r="L100" s="190" t="n">
        <v>466893.26</v>
      </c>
      <c r="M100" s="190" t="n">
        <v>2800</v>
      </c>
      <c r="N100" s="190" t="inlineStr">
        <is>
          <t>DABPAB98, DLNCSWE5, DPAIMUR8, SCLCGTN8</t>
        </is>
      </c>
    </row>
    <row r="101">
      <c r="A101" s="191" t="inlineStr">
        <is>
          <t>YELWJCKT-HEXT 69KV</t>
        </is>
      </c>
      <c r="B101" s="190" t="inlineStr">
        <is>
          <t>Low</t>
        </is>
      </c>
      <c r="C101" s="190" t="n">
        <v>1</v>
      </c>
      <c r="D101" s="192" t="inlineStr">
        <is>
          <t>High</t>
        </is>
      </c>
      <c r="E101" s="190" t="n">
        <v>95</v>
      </c>
      <c r="F101" s="190" t="inlineStr">
        <is>
          <t>HEXT_YELWJC1_1</t>
        </is>
      </c>
      <c r="G101" s="190" t="inlineStr">
        <is>
          <t>YELWJCKT</t>
        </is>
      </c>
      <c r="H101" s="190" t="inlineStr">
        <is>
          <t>HEXT</t>
        </is>
      </c>
      <c r="I101" s="190" t="n">
        <v>69</v>
      </c>
      <c r="J101" s="190" t="n">
        <v>1701</v>
      </c>
      <c r="K101" s="190" t="n">
        <v>46</v>
      </c>
      <c r="L101" s="190" t="n">
        <v>21775.23</v>
      </c>
      <c r="M101" s="190" t="n">
        <v>1962.9</v>
      </c>
      <c r="N101" s="190" t="inlineStr">
        <is>
          <t>DYETRJU8, SJUNYEL9</t>
        </is>
      </c>
    </row>
    <row r="102">
      <c r="A102" s="190" t="n"/>
      <c r="B102" s="190" t="n"/>
      <c r="C102" s="190" t="n">
        <v>2</v>
      </c>
      <c r="D102" s="180" t="inlineStr">
        <is>
          <t>Medium</t>
        </is>
      </c>
      <c r="E102" s="190" t="n">
        <v>75</v>
      </c>
      <c r="F102" s="190" t="inlineStr">
        <is>
          <t>HEXT_YELWJC1_1</t>
        </is>
      </c>
      <c r="G102" s="190" t="inlineStr">
        <is>
          <t>HEXT</t>
        </is>
      </c>
      <c r="H102" s="190" t="inlineStr">
        <is>
          <t>YELWJCKT</t>
        </is>
      </c>
      <c r="I102" s="190" t="n">
        <v>69</v>
      </c>
      <c r="J102" s="190" t="n">
        <v>9</v>
      </c>
      <c r="K102" s="190" t="n">
        <v>2</v>
      </c>
      <c r="L102" s="190" t="n">
        <v>0</v>
      </c>
      <c r="M102" s="190" t="n">
        <v>0</v>
      </c>
      <c r="N102" s="190" t="inlineStr">
        <is>
          <t>DYETRJU8, SJUNYEL9</t>
        </is>
      </c>
    </row>
    <row r="103">
      <c r="A103" s="191" t="inlineStr">
        <is>
          <t>CRD 345KV</t>
        </is>
      </c>
      <c r="B103" s="190" t="inlineStr">
        <is>
          <t>Low</t>
        </is>
      </c>
      <c r="C103" s="190" t="n">
        <v>1</v>
      </c>
      <c r="D103" s="180" t="inlineStr">
        <is>
          <t>Medium</t>
        </is>
      </c>
      <c r="E103" s="190" t="n">
        <v>75</v>
      </c>
      <c r="F103" s="190" t="inlineStr">
        <is>
          <t>CRD_CRD2</t>
        </is>
      </c>
      <c r="G103" s="190" t="inlineStr">
        <is>
          <t>CRD</t>
        </is>
      </c>
      <c r="H103" s="190" t="inlineStr">
        <is>
          <t>CRD</t>
        </is>
      </c>
      <c r="I103" s="190" t="n">
        <v>345</v>
      </c>
      <c r="J103" s="190" t="n">
        <v>363</v>
      </c>
      <c r="K103" s="190" t="n">
        <v>7</v>
      </c>
      <c r="L103" s="190" t="n">
        <v>28787.29</v>
      </c>
      <c r="M103" s="190" t="n">
        <v>4500</v>
      </c>
      <c r="N103" s="190" t="inlineStr">
        <is>
          <t>DCMBCPS8, XCMB58, XCRD58</t>
        </is>
      </c>
    </row>
    <row r="104">
      <c r="A104" s="191" t="inlineStr">
        <is>
          <t>BANDER-MASOCR 138KV</t>
        </is>
      </c>
      <c r="B104" s="190" t="inlineStr">
        <is>
          <t>Low</t>
        </is>
      </c>
      <c r="C104" s="190" t="n">
        <v>1</v>
      </c>
      <c r="D104" s="192" t="inlineStr">
        <is>
          <t>High</t>
        </is>
      </c>
      <c r="E104" s="190" t="n">
        <v>95</v>
      </c>
      <c r="F104" s="190" t="inlineStr">
        <is>
          <t>583T583_1</t>
        </is>
      </c>
      <c r="G104" s="190" t="inlineStr">
        <is>
          <t>BANDER</t>
        </is>
      </c>
      <c r="H104" s="190" t="inlineStr">
        <is>
          <t>MASOCR</t>
        </is>
      </c>
      <c r="I104" s="190" t="n">
        <v>138</v>
      </c>
      <c r="J104" s="190" t="n">
        <v>38</v>
      </c>
      <c r="K104" s="190" t="n">
        <v>2</v>
      </c>
      <c r="L104" s="190" t="n">
        <v>0</v>
      </c>
      <c r="M104" s="190" t="n">
        <v>0</v>
      </c>
      <c r="N104" s="190" t="inlineStr">
        <is>
          <t>DCAGCO58</t>
        </is>
      </c>
    </row>
    <row r="105">
      <c r="A105" s="191" t="inlineStr">
        <is>
          <t>EINSTEIN-CRTRVLLE 138KV</t>
        </is>
      </c>
      <c r="B105" s="190" t="inlineStr">
        <is>
          <t>Low</t>
        </is>
      </c>
      <c r="C105" s="190" t="n">
        <v>1</v>
      </c>
      <c r="D105" s="192" t="inlineStr">
        <is>
          <t>High</t>
        </is>
      </c>
      <c r="E105" s="190" t="n">
        <v>95</v>
      </c>
      <c r="F105" s="190" t="inlineStr">
        <is>
          <t>CRTVLE_EINSTEN_1</t>
        </is>
      </c>
      <c r="G105" s="190" t="inlineStr">
        <is>
          <t>EINSTEIN</t>
        </is>
      </c>
      <c r="H105" s="190" t="inlineStr">
        <is>
          <t>CRTRVLLE</t>
        </is>
      </c>
      <c r="I105" s="190" t="n">
        <v>138</v>
      </c>
      <c r="J105" s="190" t="n">
        <v>4</v>
      </c>
      <c r="K105" s="190" t="n">
        <v>1</v>
      </c>
      <c r="L105" s="190" t="n">
        <v>0</v>
      </c>
      <c r="M105" s="190" t="n">
        <v>0</v>
      </c>
      <c r="N105" s="190" t="inlineStr">
        <is>
          <t>MLNGPR25</t>
        </is>
      </c>
    </row>
    <row r="106">
      <c r="A106" s="191" t="inlineStr">
        <is>
          <t>PEARSALL-POTEETS 69KV</t>
        </is>
      </c>
      <c r="B106" s="190" t="inlineStr">
        <is>
          <t>New</t>
        </is>
      </c>
      <c r="C106" s="190" t="n">
        <v>1</v>
      </c>
      <c r="D106" s="192" t="inlineStr">
        <is>
          <t>High</t>
        </is>
      </c>
      <c r="E106" s="190" t="n">
        <v>95</v>
      </c>
      <c r="F106" s="190" t="inlineStr">
        <is>
          <t>POT_PEAR_1</t>
        </is>
      </c>
      <c r="G106" s="190" t="inlineStr">
        <is>
          <t>PEARSALL</t>
        </is>
      </c>
      <c r="H106" s="190" t="inlineStr">
        <is>
          <t>POTEETS</t>
        </is>
      </c>
      <c r="I106" s="190" t="n">
        <v>69</v>
      </c>
      <c r="J106" s="190" t="n">
        <v>798</v>
      </c>
      <c r="K106" s="190" t="n">
        <v>20</v>
      </c>
      <c r="L106" s="190" t="n">
        <v>132029.42</v>
      </c>
      <c r="M106" s="190" t="n">
        <v>1100.31</v>
      </c>
      <c r="N106" s="190" t="inlineStr">
        <is>
          <t>SMOOPEA8</t>
        </is>
      </c>
    </row>
    <row r="107">
      <c r="A107" s="191" t="inlineStr">
        <is>
          <t>BCPSW-AZLES 138KV</t>
        </is>
      </c>
      <c r="B107" s="190" t="inlineStr">
        <is>
          <t>New</t>
        </is>
      </c>
      <c r="C107" s="190" t="n">
        <v>1</v>
      </c>
      <c r="D107" s="192" t="inlineStr">
        <is>
          <t>High</t>
        </is>
      </c>
      <c r="E107" s="190" t="n">
        <v>95</v>
      </c>
      <c r="F107" s="190" t="inlineStr">
        <is>
          <t>6275__D</t>
        </is>
      </c>
      <c r="G107" s="190" t="inlineStr">
        <is>
          <t>BCPSW</t>
        </is>
      </c>
      <c r="H107" s="190" t="inlineStr">
        <is>
          <t>AZLES</t>
        </is>
      </c>
      <c r="I107" s="190" t="n">
        <v>138</v>
      </c>
      <c r="J107" s="190" t="n">
        <v>289</v>
      </c>
      <c r="K107" s="190" t="n">
        <v>3</v>
      </c>
      <c r="L107" s="190" t="n">
        <v>91267.32000000001</v>
      </c>
      <c r="M107" s="190" t="n">
        <v>3500</v>
      </c>
      <c r="N107" s="190" t="inlineStr">
        <is>
          <t>DCMBCPS8, SBRTGRM8, SGRSJUN8</t>
        </is>
      </c>
    </row>
    <row r="108">
      <c r="A108" s="191" t="inlineStr">
        <is>
          <t>POTEET-OAKS 69kV</t>
        </is>
      </c>
      <c r="B108" s="190" t="inlineStr">
        <is>
          <t>New</t>
        </is>
      </c>
      <c r="C108" s="190" t="n">
        <v>1</v>
      </c>
      <c r="D108" s="192" t="inlineStr">
        <is>
          <t>High</t>
        </is>
      </c>
      <c r="E108" s="190" t="n">
        <v>95</v>
      </c>
      <c r="F108" s="190" t="inlineStr">
        <is>
          <t>POT_OAKS_1</t>
        </is>
      </c>
      <c r="G108" s="190" t="inlineStr">
        <is>
          <t>POTEETS</t>
        </is>
      </c>
      <c r="H108" s="190" t="inlineStr">
        <is>
          <t>OAKS9</t>
        </is>
      </c>
      <c r="I108" s="190" t="n">
        <v>69</v>
      </c>
      <c r="J108" s="190" t="n">
        <v>676</v>
      </c>
      <c r="K108" s="190" t="n">
        <v>20</v>
      </c>
      <c r="L108" s="190" t="n">
        <v>99327.69</v>
      </c>
      <c r="M108" s="190" t="n">
        <v>1658.27</v>
      </c>
      <c r="N108" s="190" t="inlineStr">
        <is>
          <t>DELMSAN5, SMOOPEA8</t>
        </is>
      </c>
    </row>
    <row r="109">
      <c r="A109" s="191" t="inlineStr">
        <is>
          <t>ORNGROV-SNDIEGS 69kV</t>
        </is>
      </c>
      <c r="B109" s="190" t="inlineStr">
        <is>
          <t>New</t>
        </is>
      </c>
      <c r="C109" s="190" t="n">
        <v>1</v>
      </c>
      <c r="D109" s="192" t="inlineStr">
        <is>
          <t>High</t>
        </is>
      </c>
      <c r="E109" s="190" t="n">
        <v>95</v>
      </c>
      <c r="F109" s="190" t="inlineStr">
        <is>
          <t>SND_ORAN_1</t>
        </is>
      </c>
      <c r="G109" s="190" t="inlineStr">
        <is>
          <t>ORNGROV</t>
        </is>
      </c>
      <c r="H109" s="190" t="inlineStr">
        <is>
          <t>SNDIEGS</t>
        </is>
      </c>
      <c r="I109" s="190" t="n">
        <v>69</v>
      </c>
      <c r="J109" s="190" t="n">
        <v>1297</v>
      </c>
      <c r="K109" s="190" t="n">
        <v>27</v>
      </c>
      <c r="L109" s="190" t="n">
        <v>628198.92</v>
      </c>
      <c r="M109" s="190" t="n">
        <v>2800</v>
      </c>
      <c r="N109" s="190" t="inlineStr">
        <is>
          <t>DLOFOAV5, MDOGLN8, MLOFOAV5, MLONOR58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2026-05-21T16:38:54Z</dcterms:created>
  <dcterms:modified xmlns:dcterms="http://purl.org/dc/terms/" xmlns:xsi="http://www.w3.org/2001/XMLSchema-instance" xsi:type="dcterms:W3CDTF">2026-10-23T16:11:27Z</dcterms:modified>
  <cp:lastModifiedBy>William Kight</cp:lastModifiedBy>
  <cp:revision>0</cp:revision>
</cp:coreProperties>
</file>