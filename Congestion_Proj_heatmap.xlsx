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untconsolidatedinc-my.sharepoint.com/personal/wkight_huntenergy_com/Documents/Congestion project/"/>
    </mc:Choice>
  </mc:AlternateContent>
  <xr:revisionPtr revIDLastSave="2" documentId="8_{5B3EA910-9E28-42AE-9F4B-AE2B3BB8370E}" xr6:coauthVersionLast="47" xr6:coauthVersionMax="47" xr10:uidLastSave="{F07EE3B6-B18F-45AE-9402-240A4E7FCBBF}"/>
  <bookViews>
    <workbookView xWindow="75690" yWindow="2310" windowWidth="28800" windowHeight="1534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A22" i="1" l="1"/>
</calcChain>
</file>

<file path=xl/sharedStrings.xml><?xml version="1.0" encoding="utf-8"?>
<sst xmlns="http://schemas.openxmlformats.org/spreadsheetml/2006/main" count="1255" uniqueCount="197">
  <si>
    <t>Constraint</t>
  </si>
  <si>
    <t>Contingency</t>
  </si>
  <si>
    <t>Total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</si>
  <si>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</si>
  <si>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</si>
  <si>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</si>
  <si>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</si>
  <si>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</si>
  <si>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</si>
  <si>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</si>
  <si>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</si>
  <si>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</si>
  <si>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</si>
  <si>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</si>
  <si>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</si>
  <si>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</si>
  <si>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</si>
  <si>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</si>
  <si>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</si>
  <si>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</si>
  <si>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</si>
  <si>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</si>
  <si>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</si>
  <si>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</si>
  <si>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</si>
  <si>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</si>
  <si>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</si>
  <si>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Reported Name</t>
  </si>
  <si>
    <t>Nodal Shift Factor:</t>
  </si>
  <si>
    <t>Russek</t>
  </si>
  <si>
    <t>Catarina</t>
  </si>
  <si>
    <t>Holcomb</t>
  </si>
  <si>
    <t>Hamilton</t>
  </si>
  <si>
    <t>Fort Duncan</t>
  </si>
  <si>
    <t>Junction</t>
  </si>
  <si>
    <t>Judkins</t>
  </si>
  <si>
    <t>Saddleback</t>
  </si>
  <si>
    <t>Cedarvale</t>
  </si>
  <si>
    <t>Toyah</t>
  </si>
  <si>
    <t>Coyote</t>
  </si>
  <si>
    <t>Faulkner</t>
  </si>
  <si>
    <t>Garden City</t>
  </si>
  <si>
    <t>Gomez</t>
  </si>
  <si>
    <t>Lonestar</t>
  </si>
  <si>
    <t>Rattlesnake</t>
  </si>
  <si>
    <t>Sandlake</t>
  </si>
  <si>
    <t>Screwbean</t>
  </si>
  <si>
    <t>Val Verde</t>
  </si>
  <si>
    <t>Falfurrias</t>
  </si>
  <si>
    <t>Pavlov</t>
  </si>
  <si>
    <t>Poteet</t>
  </si>
  <si>
    <t xml:space="preserve">Tynan </t>
  </si>
  <si>
    <t>Weil Tract</t>
  </si>
  <si>
    <t>Mainland</t>
  </si>
  <si>
    <t>Cisco</t>
  </si>
  <si>
    <t>Diboll</t>
  </si>
  <si>
    <t>Farmersville</t>
  </si>
  <si>
    <t>Lufkin South</t>
  </si>
  <si>
    <t>Mineral Wells</t>
  </si>
  <si>
    <t>Olney</t>
  </si>
  <si>
    <t>Pauline</t>
  </si>
  <si>
    <t>TWINBU-HARGROVE 138KV HARGRO_TWINBU1_1</t>
  </si>
  <si>
    <t>Russek Marginal Unit</t>
  </si>
  <si>
    <t>ARGYL-LWSVH 138KV 587__A</t>
  </si>
  <si>
    <t>x</t>
  </si>
  <si>
    <t>VEALMOOR-KOCHTAP 138KV 15060__B</t>
  </si>
  <si>
    <t>LPLMK-LPLNE 115KV LPLMK_LPLNE_1</t>
  </si>
  <si>
    <t>BRUNI 138KV BRUNI_69_1</t>
  </si>
  <si>
    <t>PEARSALL-POTEETS 69KV POT_PEAR_1</t>
  </si>
  <si>
    <t>LA_PALMA-HAINE_DR 138KV HAINE__LA_PAL1_1</t>
  </si>
  <si>
    <t>LARDVNTH-LASCRUCE 138KV LARDVN_LASCRU1_1</t>
  </si>
  <si>
    <t>Holcomb marginal Unit</t>
  </si>
  <si>
    <t>MRVLY-ESTLD 69KV 6635__G</t>
  </si>
  <si>
    <t>Cisco actually marginal unit here</t>
  </si>
  <si>
    <t>FORTMA-YELWJCKT 138KV FORTMA_YELWJC1_1</t>
  </si>
  <si>
    <t>Junction marginal unit</t>
  </si>
  <si>
    <t>ABNTHWST 138KV ABNTHW_SERDEV1_1</t>
  </si>
  <si>
    <t>TREADWEL-YELWJCKT 138KV TREADW_YELWJC1_1</t>
  </si>
  <si>
    <t>SONR-ATSO 69KV ATSO_SONR1_1</t>
  </si>
  <si>
    <t>OZONA-MIDW 69KV MIDW_OZONA1_1</t>
  </si>
  <si>
    <t>STP-ELMCREEK 345KV STPELM27_1</t>
  </si>
  <si>
    <t>E_PASP</t>
  </si>
  <si>
    <t>KLNSW-STAGE 138KV 641__A</t>
  </si>
  <si>
    <t>LAKENASW-SAMATHIS 69KV LAKENA_SAMATH1_1</t>
  </si>
  <si>
    <t>HCKSW 1KV HCKSW_MR2L</t>
  </si>
  <si>
    <t>CRTRVLLE-HILGR 138KV 16050__B</t>
  </si>
  <si>
    <t>LASCRUCE-MILO 138KV LASCRU_MILO1_1</t>
  </si>
  <si>
    <t>NLARSW-PILONCIL 138KV NLARSW_PILONC1_1</t>
  </si>
  <si>
    <t>Catarina Marginal Unit</t>
  </si>
  <si>
    <t>HONDOCK-DEVINESW 69KV HON_DEVI_1</t>
  </si>
  <si>
    <t>LNGSW-PRLSW 345KV 6965__A</t>
  </si>
  <si>
    <t>SNDHT-WLFSW 138KV 6345__L</t>
  </si>
  <si>
    <t>Judkins in negative marginal Unit</t>
  </si>
  <si>
    <t>PALOUSE-WOLFCAMP 138KV PALOUS_WOLFCA1_1</t>
  </si>
  <si>
    <t>Russek largest sf here</t>
  </si>
  <si>
    <t>KLNSW-HHSTH 138KV 630__B</t>
  </si>
  <si>
    <t>WCRYSTS-CARIZOS 69KV WCR_CARI_1</t>
  </si>
  <si>
    <t>LOBO-LARDVNTH 138KV LARDVN_LOBO2_1</t>
  </si>
  <si>
    <t>BOW 69KV BOW_FMR1</t>
  </si>
  <si>
    <t>SANA 138KV SANA_FMR1</t>
  </si>
  <si>
    <t>STP-WAP 345KV STPWAP39_1</t>
  </si>
  <si>
    <t>ESCONDID-GANSO 138KV ESCOND_GANSO1_1</t>
  </si>
  <si>
    <t>2 other gens w/ same sf as ham</t>
  </si>
  <si>
    <t>MASN-KATEMCY 69KV KATEMC_MASN1_1</t>
  </si>
  <si>
    <t>1 other gen w/ same sf as junct</t>
  </si>
  <si>
    <t>BCESW-SNDSW 345KV 421__A</t>
  </si>
  <si>
    <t>ODESA-ODNTH 138KV 6513__A</t>
  </si>
  <si>
    <t>MGSES-CATSW 345KV 6945__A</t>
  </si>
  <si>
    <t>CMNSW-CMNTP 138KV 651__B</t>
  </si>
  <si>
    <t>LNGSW-CONSW 345KV 6056__A</t>
  </si>
  <si>
    <t>BR-HOC 138KV BR_HOC09_A</t>
  </si>
  <si>
    <t>BIG_FOOT-PLEASANT 138KV BIG_FO_PLEASA1_1</t>
  </si>
  <si>
    <t>GN-PZ 138KV GN_PZ_08_A</t>
  </si>
  <si>
    <t>FTSSW-VENSW 345KV 35050__B</t>
  </si>
  <si>
    <t>MILLER-HENLY 138KV 415T415_1</t>
  </si>
  <si>
    <t>ASHERTON-CATARINA 138KV ASHERT_CATARI1_1</t>
  </si>
  <si>
    <t>Cat marginal unit</t>
  </si>
  <si>
    <t>JEWET-BBSES 345KV 50__A</t>
  </si>
  <si>
    <t>PILONCIL-CATARINA 138KV CATARI_PILONC1_1</t>
  </si>
  <si>
    <t>MV_BURNS-MV_HBRG4 138KV BURNS_HEIDLBRG_1</t>
  </si>
  <si>
    <t>two other gen w/ high sf than vv</t>
  </si>
  <si>
    <t>SAMSW-VENSW 345KV 35055__A</t>
  </si>
  <si>
    <t>I_FW_N</t>
  </si>
  <si>
    <t>YELWJCKT-HEXT 69KV HEXT_YELWJC1_1</t>
  </si>
  <si>
    <t>not a great line for us</t>
  </si>
  <si>
    <t>YELWJCKT-FORTMA 138KV FORTMA_YELWJC1_1</t>
  </si>
  <si>
    <t>Junct and one other unit have same sf and are marginal units</t>
  </si>
  <si>
    <t>MADDUX-TREADWEL 138KV MADDUX_TREADW1_1</t>
  </si>
  <si>
    <t>have 39% here for junction but not seeing anymore on yes</t>
  </si>
  <si>
    <t>MDO-PHR 345KV MDOPHR99_A</t>
  </si>
  <si>
    <t>CRD 345KV CRD_CRD2</t>
  </si>
  <si>
    <t>RIOHONDO-MV_BURNS 138KV BURNS_RIOHONDO_1</t>
  </si>
  <si>
    <t>VV second largest sf on this line</t>
  </si>
  <si>
    <t>HAMILTON-MAVERICK 138KV HAMILT_MAVERI1_1</t>
  </si>
  <si>
    <t>LHSES-PRCSW 138KV 3660__A</t>
  </si>
  <si>
    <t>CRDSW-OLNEY 69KV 6830__B</t>
  </si>
  <si>
    <t>Olney strongest SF and Marginal Unit</t>
  </si>
  <si>
    <t>MAXWELL-HAMILTON 138KV HAMILT_MAXWEL1_1</t>
  </si>
  <si>
    <t>3 other Generators with same sf as Ham</t>
  </si>
  <si>
    <t>BLESSING 345KV BLESSING_1382</t>
  </si>
  <si>
    <t>Pavlov largest sf. Next biggest at 0.39</t>
  </si>
  <si>
    <t>CARVER-TINSLEY 138KV CARVER_TINSLE1_1</t>
  </si>
  <si>
    <t>Hamilton tied second largest sf on this line. Largest is 0.51</t>
  </si>
  <si>
    <t>NVKSW-ANARN 69KV 6840__B</t>
  </si>
  <si>
    <t>Olney largest SF</t>
  </si>
  <si>
    <t>ESTLD-MRVLY 69KV 6635__G</t>
  </si>
  <si>
    <t>LAREDO-DEL_MAR 138KV DEL_MA_LAREDO1_1</t>
  </si>
  <si>
    <t>W_BATESV-UVALDE 138KV UVALDE_W_BATE1_1</t>
  </si>
  <si>
    <t>couple other gen sources higher than Ft D</t>
  </si>
  <si>
    <t>GT-BG 138KV BG_GT_37_A</t>
  </si>
  <si>
    <t>CPSES-MBDSW 345KV 6033__A</t>
  </si>
  <si>
    <t>ZEN-THW 345KV THWZEN71_A</t>
  </si>
  <si>
    <t>LNGSW-CONSW 345KV 6056__Z</t>
  </si>
  <si>
    <t>NORTMC-CROSSOVE 138KV CROSSO_NORTMC1_1</t>
  </si>
  <si>
    <t>One gen higher sf than russek at around 0.60</t>
  </si>
  <si>
    <t>WESTEX</t>
  </si>
  <si>
    <t>PRLSW-CONSW 345KV 6960__A</t>
  </si>
  <si>
    <t>DOW-OAS 345KV DOWOAS18_A</t>
  </si>
  <si>
    <t>VALEXP</t>
  </si>
  <si>
    <t>Ton of gen as low as vv</t>
  </si>
  <si>
    <t>BANDER-MASOCR 138KV 583T583_1</t>
  </si>
  <si>
    <t>ZEN-THW 345KV THWZEN98_A</t>
  </si>
  <si>
    <t>COLETO CREEK-VICTORIA 138KV COLETO_VICTOR2</t>
  </si>
  <si>
    <t>COLETO-VICTORIA 138KV COLETO_VICTOR2_1</t>
  </si>
  <si>
    <t>TMPSW-TMPCR 345KV 315__A</t>
  </si>
  <si>
    <t>GANSO-MAVERICK 138KV GANSO_MAVERI1_1</t>
  </si>
  <si>
    <t>Hamilton and One other gen share the largest sf</t>
  </si>
  <si>
    <t>TNFXTAIL-FLAT_TOP 138KV 138_FLT_FXT_1</t>
  </si>
  <si>
    <t>strange line in the west</t>
  </si>
  <si>
    <t>MAVERICK-HAMILTON 138KV HAMILT_MAVERI1_1</t>
  </si>
  <si>
    <t>Ham and 2 other gen sources are marginal units</t>
  </si>
  <si>
    <t>SMITHERS-BI 345KV BI_SMR98_A</t>
  </si>
  <si>
    <t>DOWNIES-MOORE 138KV 2585_1</t>
  </si>
  <si>
    <t>ELGISW-BUTLER 138KV 203T260_1</t>
  </si>
  <si>
    <t>I_KALO</t>
  </si>
  <si>
    <t>MADDUX-SAPOWER 138KV MADDUX_SAPOWE1_1</t>
  </si>
  <si>
    <t>SAMSW-FVLSW 345KV 35045__A</t>
  </si>
  <si>
    <t>MCCAMY</t>
  </si>
  <si>
    <t>PILONCIL-NLARSW 138KV NLARSW_PILONC1_1</t>
  </si>
  <si>
    <t>Cat with lowest SF on this line</t>
  </si>
  <si>
    <t>EINSTEIN-CRTRVLLE 138KV CRTVLE_EINSTEN_1</t>
  </si>
  <si>
    <t>FMRVL-RYSSW 345KV 400__A</t>
  </si>
  <si>
    <t>EXCSW-RNKSW 345KV 109__A</t>
  </si>
  <si>
    <t>HOLMAN-CISTERN 345KV CKT_3136_1</t>
  </si>
  <si>
    <t>TNP_ONE-TOKSW 345KV 262_A_1</t>
  </si>
  <si>
    <t>WOLFCAMP-SANTARIT 138KV SANTAR_WOLFCA1_1</t>
  </si>
  <si>
    <t>Russek is marginal unit</t>
  </si>
  <si>
    <t>SNDSW-AUSTRO 345KV 450__A</t>
  </si>
  <si>
    <t>CATARINA-ASHERTON 138KV ASHERT_CATARI1_1</t>
  </si>
  <si>
    <t>Cat is negative marginal unit</t>
  </si>
  <si>
    <t>UVALDE-READING 138KV READIN_UVALDE1_1</t>
  </si>
  <si>
    <t>CNRSW 345KV CNRSW_MR2H</t>
  </si>
  <si>
    <t>KENDAL-BERGHE 345KV 656T656_1</t>
  </si>
  <si>
    <t>BRACKETT-ESCONDID 138KV BRACKE_ESCOND1_1</t>
  </si>
  <si>
    <t>New lines</t>
  </si>
  <si>
    <t>BCPSW-AZLES 138KV 6275__D</t>
  </si>
  <si>
    <t>Mineral wells shares strongest sf here with 1 other 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</si>
</sst>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8">
    <xf numFmtId="0" fontId="0" fillId="0" borderId="0" xfId="0"/>
    <xf numFmtId="4" fontId="0" fillId="0" borderId="0" xfId="0" applyNumberFormat="1"/>
    <xf numFmtId="0" fontId="1" fillId="0" borderId="0" xfId="1"/>
    <xf numFmtId="4" fontId="1" fillId="0" borderId="0" xfId="1" applyNumberFormat="1"/>
    <xf numFmtId="0" fontId="0" fillId="2" borderId="0" xfId="0" applyFill="1"/>
    <xf numFmtId="0" fontId="2" fillId="0" borderId="0" xfId="2"/>
    <xf numFmtId="4" fontId="2" fillId="0" borderId="0" xfId="2" applyNumberFormat="1"/>
    <xf numFmtId="0" fontId="2" fillId="2" borderId="0" xfId="2" applyFill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291"/>
  <sheetViews>
    <sheetView tabSelected="1" topLeftCell="AM1" workbookViewId="0">
      <pane ySplit="1" topLeftCell="A95" activePane="bottomLeft" state="frozen"/>
      <selection activeCell="K1" sqref="K1"/>
      <selection pane="bottomLeft" activeCell="BK107" sqref="BK107"/>
    </sheetView>
  </sheetViews>
  <sheetFormatPr defaultRowHeight="15" x14ac:dyDescent="0.25"/>
  <cols>
    <col min="1" max="1" width="47.42578125" bestFit="1" customWidth="1"/>
    <col min="3" max="3" width="10.140625" bestFit="1" customWidth="1"/>
    <col min="8" max="8" width="10.140625" bestFit="1" customWidth="1"/>
    <col min="28" max="28" width="47.42578125" bestFit="1" customWidth="1"/>
    <col min="30" max="30" width="17.5703125" bestFit="1" customWidth="1"/>
    <col min="35" max="35" width="11.7109375" bestFit="1" customWidth="1"/>
    <col min="38" max="48" width="11.5703125" customWidth="1"/>
    <col min="54" max="54" width="9.7109375" bestFit="1" customWidth="1"/>
    <col min="58" max="58" width="11.85546875" bestFit="1" customWidth="1"/>
    <col min="59" max="59" width="11.85546875" customWidth="1"/>
    <col min="60" max="60" width="13.140625" bestFit="1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</row>
    <row r="2" spans="1:63" x14ac:dyDescent="0.25">
      <c r="A2" t="s">
        <v>61</v>
      </c>
      <c r="C2" s="1">
        <v>812338.3</v>
      </c>
      <c r="D2" s="1">
        <v>67031.56</v>
      </c>
      <c r="E2" s="1">
        <v>78042.27</v>
      </c>
      <c r="F2" s="1">
        <v>85676.479999999996</v>
      </c>
      <c r="G2" s="1">
        <v>93412.97</v>
      </c>
      <c r="H2" s="1">
        <v>101422.32</v>
      </c>
      <c r="I2" s="1">
        <v>95386.19</v>
      </c>
      <c r="J2" s="1">
        <v>78245.67</v>
      </c>
      <c r="K2" s="1">
        <v>52048.79</v>
      </c>
      <c r="L2" s="1">
        <v>13496.03</v>
      </c>
      <c r="M2" s="1">
        <v>9337.2900000000009</v>
      </c>
      <c r="N2" s="1">
        <v>5147.96</v>
      </c>
      <c r="O2" s="1">
        <v>1781.44</v>
      </c>
      <c r="P2" s="1">
        <v>1755.51</v>
      </c>
      <c r="Q2" s="1">
        <v>2254.73</v>
      </c>
      <c r="R2" s="1">
        <v>1723.31</v>
      </c>
      <c r="S2" s="1">
        <v>1844.91</v>
      </c>
      <c r="T2" s="1">
        <v>880.08</v>
      </c>
      <c r="U2" s="1">
        <v>977.51</v>
      </c>
      <c r="V2" s="1">
        <v>4184.01</v>
      </c>
      <c r="W2" s="1">
        <v>6324.09</v>
      </c>
      <c r="X2" s="1">
        <v>12226.18</v>
      </c>
      <c r="Y2" s="1">
        <v>18850.77</v>
      </c>
      <c r="Z2" s="1">
        <v>28465.14</v>
      </c>
      <c r="AA2" s="1">
        <v>51823.09</v>
      </c>
      <c r="AB2" s="4" t="s">
        <v>61</v>
      </c>
      <c r="AE2">
        <v>0.31664999999999999</v>
      </c>
      <c r="AF2">
        <v>9.4999999999999998E-3</v>
      </c>
      <c r="AG2">
        <v>7.5000000000000002E-4</v>
      </c>
      <c r="AH2">
        <v>6.7900000000000002E-2</v>
      </c>
      <c r="AI2">
        <v>4.3860000000000003E-2</v>
      </c>
      <c r="AJ2">
        <v>3.5999999999999999E-3</v>
      </c>
      <c r="AK2">
        <v>1.7809999999999999E-2</v>
      </c>
      <c r="AL2">
        <v>2.4850000000000001E-2</v>
      </c>
      <c r="AM2">
        <v>2.367E-2</v>
      </c>
      <c r="AN2">
        <v>2.998E-2</v>
      </c>
      <c r="AO2">
        <v>2.393E-2</v>
      </c>
      <c r="AP2">
        <v>2.3900000000000001E-2</v>
      </c>
      <c r="AQ2">
        <v>1.061E-2</v>
      </c>
      <c r="AR2">
        <v>3.5040000000000002E-2</v>
      </c>
      <c r="AS2">
        <v>2.1780000000000001E-2</v>
      </c>
      <c r="AT2">
        <v>2.206E-2</v>
      </c>
      <c r="AU2">
        <v>2.3550000000000001E-2</v>
      </c>
      <c r="AV2">
        <v>2.1999999999999999E-2</v>
      </c>
      <c r="AW2">
        <v>-2.6700000000000001E-3</v>
      </c>
      <c r="AX2">
        <v>-2.6199999999999999E-3</v>
      </c>
      <c r="AY2">
        <v>-3.9199999999999999E-3</v>
      </c>
      <c r="AZ2">
        <v>-2.8500000000000001E-3</v>
      </c>
      <c r="BA2">
        <v>-3.2000000000000002E-3</v>
      </c>
      <c r="BB2">
        <v>-3.15E-3</v>
      </c>
      <c r="BC2">
        <v>-4.0000000000000001E-3</v>
      </c>
      <c r="BD2">
        <v>-3.0000000000000001E-3</v>
      </c>
      <c r="BE2">
        <v>-3.5300000000000002E-3</v>
      </c>
      <c r="BF2">
        <v>-3.29E-3</v>
      </c>
      <c r="BG2">
        <v>-3.5300000000000002E-3</v>
      </c>
      <c r="BH2">
        <v>-3.3500000000000001E-3</v>
      </c>
      <c r="BI2">
        <v>-2.5699999999999998E-3</v>
      </c>
      <c r="BJ2">
        <v>-3.5200000000000001E-3</v>
      </c>
      <c r="BK2" t="s">
        <v>62</v>
      </c>
    </row>
    <row r="3" spans="1:63" x14ac:dyDescent="0.25">
      <c r="A3" t="s">
        <v>63</v>
      </c>
      <c r="C3" s="1">
        <v>359570.46</v>
      </c>
      <c r="D3" s="1">
        <v>20965.259999999998</v>
      </c>
      <c r="E3" s="1">
        <v>20380.650000000001</v>
      </c>
      <c r="F3" s="1">
        <v>18615.21</v>
      </c>
      <c r="G3" s="1">
        <v>16982.490000000002</v>
      </c>
      <c r="H3" s="1">
        <v>15813.17</v>
      </c>
      <c r="I3" s="1">
        <v>15767.84</v>
      </c>
      <c r="J3" s="1">
        <v>16972.88</v>
      </c>
      <c r="K3" s="1">
        <v>15773.53</v>
      </c>
      <c r="L3" s="1">
        <v>12737.93</v>
      </c>
      <c r="M3" s="1">
        <v>12954.04</v>
      </c>
      <c r="N3" s="1">
        <v>12379.96</v>
      </c>
      <c r="O3" s="1">
        <v>12122.29</v>
      </c>
      <c r="P3" s="1">
        <v>13231.87</v>
      </c>
      <c r="Q3" s="1">
        <v>13414.94</v>
      </c>
      <c r="R3" s="1">
        <v>13763.08</v>
      </c>
      <c r="S3" s="1">
        <v>14572.82</v>
      </c>
      <c r="T3" s="1">
        <v>14653.54</v>
      </c>
      <c r="U3" s="1">
        <v>9268.01</v>
      </c>
      <c r="V3" s="1">
        <v>9098.7900000000009</v>
      </c>
      <c r="W3" s="1">
        <v>11572.38</v>
      </c>
      <c r="X3" s="1">
        <v>15032.34</v>
      </c>
      <c r="Y3" s="1">
        <v>16675.009999999998</v>
      </c>
      <c r="Z3" s="1">
        <v>17520.77</v>
      </c>
      <c r="AA3" s="1">
        <v>19301.66</v>
      </c>
      <c r="AB3" t="s">
        <v>63</v>
      </c>
      <c r="AE3">
        <v>-1.123E-2</v>
      </c>
      <c r="AF3">
        <v>-6.7000000000000002E-4</v>
      </c>
      <c r="AG3" t="s">
        <v>64</v>
      </c>
      <c r="AH3">
        <v>-3.5899999999999999E-3</v>
      </c>
      <c r="AI3">
        <v>-2.16E-3</v>
      </c>
      <c r="AJ3">
        <v>-5.9800000000000001E-3</v>
      </c>
      <c r="AK3">
        <v>-1.3140000000000001E-2</v>
      </c>
      <c r="AL3">
        <v>-1.2529999999999999E-2</v>
      </c>
      <c r="AM3">
        <v>-1.2579999999999999E-2</v>
      </c>
      <c r="AN3">
        <v>-1.2120000000000001E-2</v>
      </c>
      <c r="AO3">
        <v>-1.2579999999999999E-2</v>
      </c>
      <c r="AP3">
        <v>-1.2579999999999999E-2</v>
      </c>
      <c r="AQ3">
        <v>-1.371E-2</v>
      </c>
      <c r="AR3">
        <v>-1.2239999999999999E-2</v>
      </c>
      <c r="AS3">
        <v>-1.2749999999999999E-2</v>
      </c>
      <c r="AT3">
        <v>-1.272E-2</v>
      </c>
      <c r="AU3">
        <v>-1.2579999999999999E-2</v>
      </c>
      <c r="AV3">
        <v>-1.272E-2</v>
      </c>
      <c r="AW3">
        <v>3.5E-4</v>
      </c>
      <c r="AX3">
        <v>3.5E-4</v>
      </c>
      <c r="AY3">
        <v>2.9299999999999999E-3</v>
      </c>
      <c r="AZ3">
        <v>2.7999999999999998E-4</v>
      </c>
      <c r="BA3">
        <v>4.4999999999999999E-4</v>
      </c>
      <c r="BB3">
        <v>4.4999999999999999E-4</v>
      </c>
      <c r="BC3">
        <v>4.7000000000000002E-3</v>
      </c>
      <c r="BD3">
        <v>-1.8790000000000001E-2</v>
      </c>
      <c r="BE3">
        <v>1.469E-2</v>
      </c>
      <c r="BF3">
        <v>2.078E-2</v>
      </c>
      <c r="BG3">
        <v>1.4710000000000001E-2</v>
      </c>
      <c r="BH3">
        <v>-2.7789999999999999E-2</v>
      </c>
      <c r="BI3">
        <v>-2.98E-2</v>
      </c>
      <c r="BJ3">
        <v>1.453E-2</v>
      </c>
    </row>
    <row r="4" spans="1:63" x14ac:dyDescent="0.25">
      <c r="A4" t="s">
        <v>65</v>
      </c>
      <c r="C4" s="1">
        <v>294667.84000000003</v>
      </c>
      <c r="D4" s="1">
        <v>27591.31</v>
      </c>
      <c r="E4" s="1">
        <v>23274.76</v>
      </c>
      <c r="F4" s="1">
        <v>20559.37</v>
      </c>
      <c r="G4" s="1">
        <v>16173.34</v>
      </c>
      <c r="H4" s="1">
        <v>12792.28</v>
      </c>
      <c r="I4" s="1">
        <v>13211.21</v>
      </c>
      <c r="J4" s="1">
        <v>14779.99</v>
      </c>
      <c r="K4" s="1">
        <v>6913.64</v>
      </c>
      <c r="L4" s="1">
        <v>3585.96</v>
      </c>
      <c r="M4" s="1">
        <v>1366.62</v>
      </c>
      <c r="N4" s="1">
        <v>1635.31</v>
      </c>
      <c r="O4" s="1">
        <v>1134.1199999999999</v>
      </c>
      <c r="P4" s="1">
        <v>1336.08</v>
      </c>
      <c r="Q4" s="1">
        <v>1178.71</v>
      </c>
      <c r="R4" s="1">
        <v>914.18</v>
      </c>
      <c r="S4" s="1">
        <v>1482.47</v>
      </c>
      <c r="T4" s="1">
        <v>2080.56</v>
      </c>
      <c r="U4" s="1">
        <v>4782.57</v>
      </c>
      <c r="V4" s="1">
        <v>7397.81</v>
      </c>
      <c r="W4" s="1">
        <v>10320.530000000001</v>
      </c>
      <c r="X4" s="1">
        <v>18762.759999999998</v>
      </c>
      <c r="Y4" s="1">
        <v>31663.08</v>
      </c>
      <c r="Z4" s="1">
        <v>37471.54</v>
      </c>
      <c r="AA4" s="1">
        <v>34259.64</v>
      </c>
      <c r="AB4" t="s">
        <v>65</v>
      </c>
      <c r="AE4">
        <v>2.3310000000000001E-2</v>
      </c>
      <c r="AF4" t="s">
        <v>64</v>
      </c>
      <c r="AG4">
        <v>-1.65E-3</v>
      </c>
      <c r="AH4">
        <v>1.0120000000000001E-2</v>
      </c>
      <c r="AI4" t="s">
        <v>64</v>
      </c>
      <c r="AJ4">
        <v>2.2599999999999999E-3</v>
      </c>
      <c r="AK4">
        <v>5.2290000000000003E-2</v>
      </c>
      <c r="AL4">
        <v>4.4699999999999997E-2</v>
      </c>
      <c r="AM4">
        <v>4.7910000000000001E-2</v>
      </c>
      <c r="AN4">
        <v>4.3360000000000003E-2</v>
      </c>
      <c r="AO4">
        <v>4.786E-2</v>
      </c>
      <c r="AP4">
        <v>4.786E-2</v>
      </c>
      <c r="AQ4">
        <v>5.6390000000000003E-2</v>
      </c>
      <c r="AR4">
        <v>4.2410000000000003E-2</v>
      </c>
      <c r="AS4">
        <v>4.9570000000000003E-2</v>
      </c>
      <c r="AT4">
        <v>4.922E-2</v>
      </c>
      <c r="AU4" t="s">
        <v>64</v>
      </c>
      <c r="AV4">
        <v>4.9110000000000001E-2</v>
      </c>
      <c r="AW4">
        <v>-2.66E-3</v>
      </c>
      <c r="AX4">
        <v>-2.6199999999999999E-3</v>
      </c>
      <c r="AY4">
        <v>-4.6800000000000001E-3</v>
      </c>
      <c r="AZ4" t="s">
        <v>64</v>
      </c>
      <c r="BA4" t="s">
        <v>64</v>
      </c>
      <c r="BB4">
        <v>-2.8999999999999998E-3</v>
      </c>
      <c r="BC4">
        <v>-6.1799999999999997E-3</v>
      </c>
      <c r="BD4">
        <v>-4.62E-3</v>
      </c>
      <c r="BE4">
        <v>-9.9000000000000008E-3</v>
      </c>
      <c r="BF4">
        <v>-1.073E-2</v>
      </c>
      <c r="BG4">
        <v>-9.9000000000000008E-3</v>
      </c>
      <c r="BH4">
        <v>-1.0189999999999999E-2</v>
      </c>
      <c r="BI4">
        <v>-1.0970000000000001E-2</v>
      </c>
      <c r="BJ4">
        <v>-9.9900000000000006E-3</v>
      </c>
    </row>
    <row r="5" spans="1:63" x14ac:dyDescent="0.25">
      <c r="A5" t="s">
        <v>66</v>
      </c>
      <c r="C5" s="1">
        <v>266579.96000000002</v>
      </c>
      <c r="D5" s="1">
        <v>9373.7999999999993</v>
      </c>
      <c r="E5" s="1">
        <v>9871.73</v>
      </c>
      <c r="F5" s="1">
        <v>9413.4699999999993</v>
      </c>
      <c r="G5" s="1">
        <v>11832.5</v>
      </c>
      <c r="H5" s="1">
        <v>12975.74</v>
      </c>
      <c r="I5" s="1">
        <v>12869.99</v>
      </c>
      <c r="J5" s="1">
        <v>13338.17</v>
      </c>
      <c r="K5" s="1">
        <v>11749.25</v>
      </c>
      <c r="L5" s="1">
        <v>5067.1099999999997</v>
      </c>
      <c r="M5" s="1">
        <v>3738.85</v>
      </c>
      <c r="N5" s="1">
        <v>3417.93</v>
      </c>
      <c r="O5" s="1">
        <v>3017.02</v>
      </c>
      <c r="P5" s="1">
        <v>3405.03</v>
      </c>
      <c r="Q5" s="1">
        <v>3827.47</v>
      </c>
      <c r="R5" s="1">
        <v>4683.5200000000004</v>
      </c>
      <c r="S5" s="1">
        <v>5228.6899999999996</v>
      </c>
      <c r="T5" s="1">
        <v>6950.44</v>
      </c>
      <c r="U5" s="1">
        <v>10822.07</v>
      </c>
      <c r="V5" s="1">
        <v>22395.26</v>
      </c>
      <c r="W5" s="1">
        <v>23860.37</v>
      </c>
      <c r="X5" s="1">
        <v>26134.15</v>
      </c>
      <c r="Y5" s="1">
        <v>25904.33</v>
      </c>
      <c r="Z5" s="1">
        <v>16141.9</v>
      </c>
      <c r="AA5" s="1">
        <v>10561.17</v>
      </c>
      <c r="AB5" t="s">
        <v>66</v>
      </c>
      <c r="AE5">
        <v>1.044E-2</v>
      </c>
      <c r="AF5">
        <v>7.7999999999999999E-4</v>
      </c>
      <c r="AG5" t="s">
        <v>64</v>
      </c>
      <c r="AH5">
        <v>5.0600000000000003E-3</v>
      </c>
      <c r="AI5">
        <v>2.8999999999999998E-3</v>
      </c>
      <c r="AJ5">
        <v>4.0600000000000002E-3</v>
      </c>
      <c r="AK5">
        <v>1.619E-2</v>
      </c>
      <c r="AL5">
        <v>1.525E-2</v>
      </c>
      <c r="AM5">
        <v>1.533E-2</v>
      </c>
      <c r="AN5">
        <v>1.464E-2</v>
      </c>
      <c r="AO5">
        <v>1.533E-2</v>
      </c>
      <c r="AP5">
        <v>1.533E-2</v>
      </c>
      <c r="AQ5">
        <v>1.6060000000000001E-2</v>
      </c>
      <c r="AR5">
        <v>1.4789999999999999E-2</v>
      </c>
      <c r="AS5">
        <v>1.555E-2</v>
      </c>
      <c r="AT5">
        <v>1.555E-2</v>
      </c>
      <c r="AU5">
        <v>1.5339999999999999E-2</v>
      </c>
      <c r="AV5">
        <v>1.5559999999999999E-2</v>
      </c>
      <c r="AW5">
        <v>-5.6999999999999998E-4</v>
      </c>
      <c r="AX5">
        <v>-5.5000000000000003E-4</v>
      </c>
      <c r="AY5">
        <v>-1.58E-3</v>
      </c>
      <c r="AZ5">
        <v>-3.8999999999999999E-4</v>
      </c>
      <c r="BA5">
        <v>-5.9999999999999995E-4</v>
      </c>
      <c r="BB5">
        <v>-6.9999999999999999E-4</v>
      </c>
      <c r="BC5">
        <v>-2.3500000000000001E-3</v>
      </c>
      <c r="BD5">
        <v>-7.5000000000000002E-4</v>
      </c>
      <c r="BE5">
        <v>-4.8599999999999997E-3</v>
      </c>
      <c r="BF5">
        <v>-6.2899999999999996E-3</v>
      </c>
      <c r="BG5">
        <v>-4.8599999999999997E-3</v>
      </c>
      <c r="BH5">
        <v>-5.47E-3</v>
      </c>
      <c r="BI5">
        <v>-7.9100000000000004E-3</v>
      </c>
      <c r="BJ5">
        <v>-4.8199999999999996E-3</v>
      </c>
    </row>
    <row r="6" spans="1:63" x14ac:dyDescent="0.25">
      <c r="A6" t="s">
        <v>67</v>
      </c>
      <c r="C6" s="1">
        <v>263224.34000000003</v>
      </c>
      <c r="D6" s="1">
        <v>15349.56</v>
      </c>
      <c r="E6" s="1">
        <v>13677.75</v>
      </c>
      <c r="F6" s="1">
        <v>10694.08</v>
      </c>
      <c r="G6" s="1">
        <v>13676.63</v>
      </c>
      <c r="H6" s="1">
        <v>17442.36</v>
      </c>
      <c r="I6" s="1">
        <v>15548.45</v>
      </c>
      <c r="J6" s="1">
        <v>13837.84</v>
      </c>
      <c r="K6" s="1">
        <v>11473.16</v>
      </c>
      <c r="L6" s="1">
        <v>7595.51</v>
      </c>
      <c r="M6" s="1">
        <v>5881.32</v>
      </c>
      <c r="N6" s="1">
        <v>2295.36</v>
      </c>
      <c r="O6" s="1">
        <v>3318.81</v>
      </c>
      <c r="P6" s="1">
        <v>4311.3</v>
      </c>
      <c r="Q6" s="1">
        <v>5461.83</v>
      </c>
      <c r="R6" s="1">
        <v>5240.6099999999997</v>
      </c>
      <c r="S6" s="1">
        <v>6049.19</v>
      </c>
      <c r="T6" s="1">
        <v>4767.3900000000003</v>
      </c>
      <c r="U6" s="1">
        <v>8401.5499999999993</v>
      </c>
      <c r="V6" s="1">
        <v>10321.950000000001</v>
      </c>
      <c r="W6" s="1">
        <v>13538.32</v>
      </c>
      <c r="X6" s="1">
        <v>17831.16</v>
      </c>
      <c r="Y6" s="1">
        <v>19291.419999999998</v>
      </c>
      <c r="Z6" s="1">
        <v>20074.73</v>
      </c>
      <c r="AA6" s="1">
        <v>17144.060000000001</v>
      </c>
      <c r="AB6" t="s">
        <v>67</v>
      </c>
      <c r="AE6">
        <v>1.2799999999999999E-4</v>
      </c>
      <c r="AF6">
        <v>4.5999999999999999E-3</v>
      </c>
      <c r="AG6">
        <v>5.94E-3</v>
      </c>
      <c r="AH6">
        <v>5.4900000000000001E-3</v>
      </c>
      <c r="AI6">
        <v>7.7999999999999996E-3</v>
      </c>
      <c r="AJ6">
        <v>8.7000000000000001E-4</v>
      </c>
      <c r="AK6">
        <v>8.4000000000000003E-4</v>
      </c>
      <c r="AL6">
        <v>8.7000000000000001E-4</v>
      </c>
      <c r="AM6">
        <v>8.5999999999999998E-4</v>
      </c>
      <c r="AN6">
        <v>8.8999999999999995E-4</v>
      </c>
      <c r="AO6">
        <v>8.5999999999999998E-4</v>
      </c>
      <c r="AP6">
        <v>8.5999999999999998E-4</v>
      </c>
      <c r="AQ6">
        <v>8.0000000000000004E-4</v>
      </c>
      <c r="AR6">
        <v>8.9999999999999998E-4</v>
      </c>
      <c r="AS6">
        <v>8.4999999999999995E-4</v>
      </c>
      <c r="AT6">
        <v>8.4999999999999995E-4</v>
      </c>
      <c r="AU6">
        <v>8.5999999999999998E-4</v>
      </c>
      <c r="AV6">
        <v>8.4999999999999995E-4</v>
      </c>
      <c r="AW6">
        <v>-1.0529999999999999E-2</v>
      </c>
      <c r="AX6">
        <v>-2.64E-2</v>
      </c>
      <c r="AY6">
        <v>-3.8999999999999999E-4</v>
      </c>
      <c r="AZ6">
        <v>1.7600000000000001E-3</v>
      </c>
      <c r="BA6">
        <v>-1.655E-3</v>
      </c>
      <c r="BB6">
        <v>-4.8999999999999998E-3</v>
      </c>
      <c r="BC6">
        <v>1E-4</v>
      </c>
      <c r="BD6">
        <v>6.7000000000000002E-4</v>
      </c>
      <c r="BE6">
        <v>5.1000000000000004E-4</v>
      </c>
      <c r="BF6">
        <v>5.5000000000000003E-4</v>
      </c>
      <c r="BG6">
        <v>5.1000000000000004E-4</v>
      </c>
      <c r="BH6">
        <v>5.9000000000000003E-4</v>
      </c>
      <c r="BI6">
        <v>6.3000000000000003E-4</v>
      </c>
      <c r="BJ6">
        <v>5.1000000000000004E-4</v>
      </c>
    </row>
    <row r="7" spans="1:63" x14ac:dyDescent="0.25">
      <c r="A7" s="2" t="s">
        <v>68</v>
      </c>
      <c r="B7" s="2"/>
      <c r="C7" s="3">
        <v>167352.76</v>
      </c>
      <c r="D7" s="3"/>
      <c r="E7" s="3"/>
      <c r="F7" s="3"/>
      <c r="G7" s="3"/>
      <c r="H7" s="3"/>
      <c r="I7" s="3"/>
      <c r="J7" s="3"/>
      <c r="K7" s="3"/>
      <c r="L7" s="3"/>
      <c r="M7" s="3">
        <v>184.02</v>
      </c>
      <c r="N7" s="3">
        <v>1479.09</v>
      </c>
      <c r="O7" s="3">
        <v>3275.37</v>
      </c>
      <c r="P7" s="3">
        <v>7417.73</v>
      </c>
      <c r="Q7" s="3">
        <v>10333.93</v>
      </c>
      <c r="R7" s="3">
        <v>15821.5</v>
      </c>
      <c r="S7" s="3">
        <v>24867.360000000001</v>
      </c>
      <c r="T7" s="3">
        <v>40460.1</v>
      </c>
      <c r="U7" s="3">
        <v>37341.08</v>
      </c>
      <c r="V7" s="3">
        <v>24644.34</v>
      </c>
      <c r="W7" s="3">
        <v>1528.24</v>
      </c>
      <c r="X7" s="3">
        <v>0</v>
      </c>
      <c r="Y7" s="3">
        <v>0</v>
      </c>
      <c r="Z7" s="3"/>
      <c r="AA7" s="3"/>
      <c r="AB7" s="2" t="s">
        <v>68</v>
      </c>
      <c r="AE7">
        <v>-5.5999999999999995E-4</v>
      </c>
      <c r="AF7">
        <v>-1.753E-2</v>
      </c>
      <c r="AG7">
        <v>-1.336E-2</v>
      </c>
      <c r="AH7">
        <v>-8.26E-3</v>
      </c>
      <c r="AI7">
        <v>-1.269E-2</v>
      </c>
      <c r="AJ7">
        <v>3.1E-4</v>
      </c>
      <c r="AK7">
        <v>2.7999999999999998E-4</v>
      </c>
      <c r="AL7">
        <v>2.7999999999999998E-4</v>
      </c>
      <c r="AM7">
        <v>2.9E-4</v>
      </c>
      <c r="AN7">
        <v>2.7999999999999998E-4</v>
      </c>
      <c r="AO7">
        <v>2.9E-4</v>
      </c>
      <c r="AP7">
        <v>2.9E-4</v>
      </c>
      <c r="AQ7">
        <v>2.9E-4</v>
      </c>
      <c r="AR7">
        <v>2.3000000000000001E-4</v>
      </c>
      <c r="AS7">
        <v>2.9E-4</v>
      </c>
      <c r="AT7">
        <v>2.9E-4</v>
      </c>
      <c r="AU7">
        <v>2.9E-4</v>
      </c>
      <c r="AV7">
        <v>2.9E-4</v>
      </c>
      <c r="AW7">
        <v>-4.3200000000000001E-3</v>
      </c>
      <c r="AX7">
        <v>-4.6800000000000001E-3</v>
      </c>
      <c r="AY7">
        <v>-8.0000000000000004E-4</v>
      </c>
      <c r="AZ7">
        <v>0.39102999999999999</v>
      </c>
      <c r="BA7">
        <v>-4.5999999999999999E-3</v>
      </c>
      <c r="BB7">
        <v>-3.1E-4</v>
      </c>
      <c r="BC7">
        <v>-1E-4</v>
      </c>
      <c r="BD7">
        <v>3.1E-4</v>
      </c>
      <c r="BE7">
        <v>2.4000000000000001E-4</v>
      </c>
      <c r="BF7">
        <v>2.5999999999999998E-4</v>
      </c>
      <c r="BG7">
        <v>2.4000000000000001E-4</v>
      </c>
      <c r="BH7">
        <v>2.9E-4</v>
      </c>
      <c r="BI7">
        <v>2.9E-4</v>
      </c>
      <c r="BJ7">
        <v>2.4000000000000001E-4</v>
      </c>
    </row>
    <row r="8" spans="1:63" x14ac:dyDescent="0.25">
      <c r="A8" t="s">
        <v>69</v>
      </c>
      <c r="C8" s="1">
        <v>157434.95000000001</v>
      </c>
      <c r="D8" s="1">
        <v>2007.36</v>
      </c>
      <c r="E8" s="1">
        <v>1498.5</v>
      </c>
      <c r="F8" s="1">
        <v>955.3</v>
      </c>
      <c r="G8" s="1">
        <v>1179.1400000000001</v>
      </c>
      <c r="H8" s="1">
        <v>649.95000000000005</v>
      </c>
      <c r="I8" s="1">
        <v>662.18</v>
      </c>
      <c r="J8" s="1">
        <v>1138.03</v>
      </c>
      <c r="K8" s="1">
        <v>1170.9000000000001</v>
      </c>
      <c r="L8" s="1">
        <v>2606.9</v>
      </c>
      <c r="M8" s="1">
        <v>4689.33</v>
      </c>
      <c r="N8" s="1">
        <v>5893.81</v>
      </c>
      <c r="O8" s="1">
        <v>8060.67</v>
      </c>
      <c r="P8" s="1">
        <v>10321.91</v>
      </c>
      <c r="Q8" s="1">
        <v>12148.7</v>
      </c>
      <c r="R8" s="1">
        <v>14938.22</v>
      </c>
      <c r="S8" s="1">
        <v>18273.919999999998</v>
      </c>
      <c r="T8" s="1">
        <v>19748.900000000001</v>
      </c>
      <c r="U8" s="1">
        <v>17889.71</v>
      </c>
      <c r="V8" s="1">
        <v>11539.64</v>
      </c>
      <c r="W8" s="1">
        <v>7304.47</v>
      </c>
      <c r="X8" s="1">
        <v>5321.6</v>
      </c>
      <c r="Y8" s="1">
        <v>4421.88</v>
      </c>
      <c r="Z8" s="1">
        <v>2913.09</v>
      </c>
      <c r="AA8" s="1">
        <v>2100.84</v>
      </c>
      <c r="AB8" t="s">
        <v>69</v>
      </c>
      <c r="AE8">
        <v>2.3900000000000001E-4</v>
      </c>
      <c r="AF8">
        <v>6.7799999999999996E-3</v>
      </c>
      <c r="AG8">
        <v>1.1379999999999999E-2</v>
      </c>
      <c r="AH8">
        <v>2.2899999999999999E-3</v>
      </c>
      <c r="AI8">
        <v>3.5699999999999998E-3</v>
      </c>
      <c r="AJ8">
        <v>-2.65E-3</v>
      </c>
      <c r="AK8">
        <v>-2.63E-3</v>
      </c>
      <c r="AL8">
        <v>-2.5999999999999999E-3</v>
      </c>
      <c r="AM8">
        <v>-2.5999999999999999E-3</v>
      </c>
      <c r="AN8">
        <v>-2.5699999999999998E-3</v>
      </c>
      <c r="AO8">
        <v>-2.5999999999999999E-3</v>
      </c>
      <c r="AP8">
        <v>-2.5999999999999999E-3</v>
      </c>
      <c r="AQ8">
        <v>-2.64E-3</v>
      </c>
      <c r="AR8">
        <v>-2.5600000000000002E-3</v>
      </c>
      <c r="AS8">
        <v>-2.6099999999999999E-3</v>
      </c>
      <c r="AT8">
        <v>-2.6099999999999999E-3</v>
      </c>
      <c r="AU8">
        <v>-2.5999999999999999E-3</v>
      </c>
      <c r="AV8">
        <v>-2.6099999999999999E-3</v>
      </c>
      <c r="AW8">
        <v>0.18556</v>
      </c>
      <c r="AX8">
        <v>3.9219999999999998E-2</v>
      </c>
      <c r="AY8">
        <v>-4.1399999999999996E-3</v>
      </c>
      <c r="AZ8">
        <v>-1.24E-3</v>
      </c>
      <c r="BA8">
        <v>-5.5300000000000002E-3</v>
      </c>
      <c r="BB8">
        <v>-1.439E-2</v>
      </c>
      <c r="BC8">
        <v>-2.98E-3</v>
      </c>
      <c r="BD8">
        <v>-2.7200000000000002E-3</v>
      </c>
      <c r="BE8">
        <v>-2.7899999999999999E-3</v>
      </c>
      <c r="BF8">
        <v>-2.7699999999999999E-3</v>
      </c>
      <c r="BG8">
        <v>-2.7899999999999999E-3</v>
      </c>
      <c r="BH8">
        <v>-2.7499999999999998E-3</v>
      </c>
      <c r="BI8">
        <v>-2.7299999999999998E-3</v>
      </c>
      <c r="BJ8">
        <v>-2.7899999999999999E-3</v>
      </c>
    </row>
    <row r="9" spans="1:63" x14ac:dyDescent="0.25">
      <c r="A9" t="s">
        <v>70</v>
      </c>
      <c r="C9" s="1">
        <v>150133.74</v>
      </c>
      <c r="D9" s="1">
        <v>5292.9</v>
      </c>
      <c r="E9" s="1">
        <v>4016.18</v>
      </c>
      <c r="F9" s="1">
        <v>2584.08</v>
      </c>
      <c r="G9" s="1">
        <v>1441.52</v>
      </c>
      <c r="H9" s="1">
        <v>1460.88</v>
      </c>
      <c r="I9" s="1">
        <v>1506.22</v>
      </c>
      <c r="J9" s="1">
        <v>1972.63</v>
      </c>
      <c r="K9" s="1">
        <v>1300.26</v>
      </c>
      <c r="L9" s="1">
        <v>1077.74</v>
      </c>
      <c r="M9" s="1">
        <v>1765.52</v>
      </c>
      <c r="N9" s="1">
        <v>2139.0300000000002</v>
      </c>
      <c r="O9" s="1">
        <v>2022.88</v>
      </c>
      <c r="P9" s="1">
        <v>1587.54</v>
      </c>
      <c r="Q9" s="1">
        <v>1384.82</v>
      </c>
      <c r="R9" s="1">
        <v>1552.48</v>
      </c>
      <c r="S9" s="1">
        <v>2858.78</v>
      </c>
      <c r="T9" s="1">
        <v>4289.72</v>
      </c>
      <c r="U9" s="1">
        <v>7677.17</v>
      </c>
      <c r="V9" s="1">
        <v>15748.88</v>
      </c>
      <c r="W9" s="1">
        <v>27679.73</v>
      </c>
      <c r="X9" s="1">
        <v>27663.42</v>
      </c>
      <c r="Y9" s="1">
        <v>18016.5</v>
      </c>
      <c r="Z9" s="1">
        <v>9419.33</v>
      </c>
      <c r="AA9" s="1">
        <v>5675.53</v>
      </c>
      <c r="AB9" s="4" t="s">
        <v>70</v>
      </c>
      <c r="AE9">
        <v>0.01</v>
      </c>
      <c r="AF9">
        <v>0.17885000000000001</v>
      </c>
      <c r="AG9">
        <v>0.29736000000000001</v>
      </c>
      <c r="AH9">
        <v>6.1580000000000003E-2</v>
      </c>
      <c r="AI9" t="s">
        <v>64</v>
      </c>
      <c r="AJ9">
        <v>6.77E-3</v>
      </c>
      <c r="AK9">
        <v>6.5300000000000002E-3</v>
      </c>
      <c r="AL9">
        <v>6.9199999999999999E-3</v>
      </c>
      <c r="AM9">
        <v>6.8300000000000001E-3</v>
      </c>
      <c r="AN9">
        <v>7.1900000000000002E-3</v>
      </c>
      <c r="AO9">
        <v>6.8599999999999998E-3</v>
      </c>
      <c r="AP9">
        <v>6.8599999999999998E-3</v>
      </c>
      <c r="AQ9">
        <v>6.2199999999999998E-3</v>
      </c>
      <c r="AR9">
        <v>7.6E-3</v>
      </c>
      <c r="AS9">
        <v>6.7400000000000003E-3</v>
      </c>
      <c r="AT9">
        <v>6.7600000000000004E-3</v>
      </c>
      <c r="AU9">
        <v>6.8300000000000001E-3</v>
      </c>
      <c r="AV9">
        <v>6.7499999999999999E-3</v>
      </c>
      <c r="AW9">
        <v>-7.9000000000000001E-2</v>
      </c>
      <c r="AX9">
        <v>-9.7140000000000004E-2</v>
      </c>
      <c r="AY9">
        <v>-3.8600000000000001E-3</v>
      </c>
      <c r="AZ9" t="s">
        <v>64</v>
      </c>
      <c r="BA9" t="s">
        <v>64</v>
      </c>
      <c r="BB9">
        <v>-3.9309999999999998E-2</v>
      </c>
      <c r="BC9">
        <v>1.6000000000000001E-4</v>
      </c>
      <c r="BD9">
        <v>4.8399999999999997E-3</v>
      </c>
      <c r="BE9">
        <v>3.5300000000000002E-3</v>
      </c>
      <c r="BF9">
        <v>3.8800000000000002E-3</v>
      </c>
      <c r="BG9">
        <v>3.5300000000000002E-3</v>
      </c>
      <c r="BH9">
        <v>4.2199999999999998E-3</v>
      </c>
      <c r="BI9">
        <v>4.5399999999999998E-3</v>
      </c>
      <c r="BJ9">
        <v>3.5799999999999998E-3</v>
      </c>
      <c r="BK9" t="s">
        <v>71</v>
      </c>
    </row>
    <row r="10" spans="1:63" x14ac:dyDescent="0.25">
      <c r="A10" t="s">
        <v>72</v>
      </c>
      <c r="C10" s="1">
        <v>134306.39000000001</v>
      </c>
      <c r="D10" s="1">
        <v>2632.71</v>
      </c>
      <c r="E10" s="1">
        <v>3167.6</v>
      </c>
      <c r="F10" s="1">
        <v>3044.79</v>
      </c>
      <c r="G10" s="1">
        <v>3037.09</v>
      </c>
      <c r="H10" s="1">
        <v>3602.14</v>
      </c>
      <c r="I10" s="1">
        <v>6913.3</v>
      </c>
      <c r="J10" s="1">
        <v>8532.41</v>
      </c>
      <c r="K10" s="1">
        <v>9743.9500000000007</v>
      </c>
      <c r="L10" s="1">
        <v>5032.5200000000004</v>
      </c>
      <c r="M10" s="1">
        <v>1708.56</v>
      </c>
      <c r="N10" s="1">
        <v>673.82</v>
      </c>
      <c r="O10" s="1">
        <v>434.39</v>
      </c>
      <c r="P10" s="1">
        <v>522.02</v>
      </c>
      <c r="Q10" s="1">
        <v>268.07</v>
      </c>
      <c r="R10" s="1">
        <v>2631.71</v>
      </c>
      <c r="S10" s="1">
        <v>2097.29</v>
      </c>
      <c r="T10" s="1">
        <v>3176.64</v>
      </c>
      <c r="U10" s="1">
        <v>7733.18</v>
      </c>
      <c r="V10" s="1">
        <v>14859.49</v>
      </c>
      <c r="W10" s="1">
        <v>15436.69</v>
      </c>
      <c r="X10" s="1">
        <v>12993.3</v>
      </c>
      <c r="Y10" s="1">
        <v>11194.25</v>
      </c>
      <c r="Z10" s="1">
        <v>8358.2900000000009</v>
      </c>
      <c r="AA10" s="1">
        <v>6512.18</v>
      </c>
      <c r="AB10" s="4" t="s">
        <v>72</v>
      </c>
      <c r="AE10">
        <v>2.6800000000000001E-3</v>
      </c>
      <c r="AF10">
        <v>6.4999999999999997E-4</v>
      </c>
      <c r="AG10">
        <v>4.6999999999999999E-4</v>
      </c>
      <c r="AH10">
        <v>1.58E-3</v>
      </c>
      <c r="AI10">
        <v>1.1100000000000001E-3</v>
      </c>
      <c r="AJ10">
        <v>2.15E-3</v>
      </c>
      <c r="AK10">
        <v>2.3800000000000002E-3</v>
      </c>
      <c r="AL10">
        <v>2.33E-3</v>
      </c>
      <c r="AM10">
        <v>2.33E-3</v>
      </c>
      <c r="AN10">
        <v>2.3E-3</v>
      </c>
      <c r="AO10">
        <v>2.3E-3</v>
      </c>
      <c r="AP10">
        <v>2.3E-3</v>
      </c>
      <c r="AQ10">
        <v>2.5899999999999999E-3</v>
      </c>
      <c r="AR10">
        <v>2.3E-3</v>
      </c>
      <c r="AS10">
        <v>2.3E-3</v>
      </c>
      <c r="AT10">
        <v>2.3E-3</v>
      </c>
      <c r="AU10">
        <v>2.3E-3</v>
      </c>
      <c r="AV10">
        <v>2.3E-3</v>
      </c>
      <c r="AW10">
        <v>3.6999999999999999E-4</v>
      </c>
      <c r="AX10">
        <v>3.6999999999999999E-4</v>
      </c>
      <c r="AY10">
        <v>-1E-4</v>
      </c>
      <c r="AZ10">
        <v>3.6999999999999999E-4</v>
      </c>
      <c r="BA10">
        <v>3.5E-4</v>
      </c>
      <c r="BB10">
        <v>3.5E-4</v>
      </c>
      <c r="BC10">
        <v>-4.2999999999999999E-4</v>
      </c>
      <c r="BD10">
        <v>0.17348</v>
      </c>
      <c r="BE10">
        <v>-1.66E-3</v>
      </c>
      <c r="BF10">
        <v>-1.8400000000000001E-3</v>
      </c>
      <c r="BG10">
        <v>-1.6000000000000001E-3</v>
      </c>
      <c r="BH10">
        <v>-3.5999999999999999E-3</v>
      </c>
      <c r="BI10">
        <v>-4.9329999999999999E-2</v>
      </c>
      <c r="BJ10">
        <v>-1.6800000000000001E-3</v>
      </c>
      <c r="BK10" t="s">
        <v>73</v>
      </c>
    </row>
    <row r="11" spans="1:63" x14ac:dyDescent="0.25">
      <c r="A11" t="s">
        <v>74</v>
      </c>
      <c r="C11" s="1">
        <v>103773.93</v>
      </c>
      <c r="D11" s="1">
        <v>6927.47</v>
      </c>
      <c r="E11" s="1">
        <v>7504.88</v>
      </c>
      <c r="F11" s="1">
        <v>5776.69</v>
      </c>
      <c r="G11" s="1">
        <v>7337.18</v>
      </c>
      <c r="H11" s="1">
        <v>6465.42</v>
      </c>
      <c r="I11" s="1">
        <v>4479.6400000000003</v>
      </c>
      <c r="J11" s="1">
        <v>4070.58</v>
      </c>
      <c r="K11" s="1">
        <v>3102.16</v>
      </c>
      <c r="L11" s="1">
        <v>982.11</v>
      </c>
      <c r="M11" s="1">
        <v>163.72999999999999</v>
      </c>
      <c r="N11" s="1">
        <v>0</v>
      </c>
      <c r="O11" s="1">
        <v>0</v>
      </c>
      <c r="P11" s="1"/>
      <c r="Q11" s="1"/>
      <c r="R11" s="1"/>
      <c r="S11" s="1">
        <v>6</v>
      </c>
      <c r="T11" s="1">
        <v>697.78</v>
      </c>
      <c r="U11" s="1">
        <v>6238.74</v>
      </c>
      <c r="V11" s="1">
        <v>7077.57</v>
      </c>
      <c r="W11" s="1">
        <v>8859.7800000000007</v>
      </c>
      <c r="X11" s="1">
        <v>9917.69</v>
      </c>
      <c r="Y11" s="1">
        <v>8495.7199999999993</v>
      </c>
      <c r="Z11" s="1">
        <v>8672.9599999999991</v>
      </c>
      <c r="AA11" s="1">
        <v>6997.83</v>
      </c>
      <c r="AB11" s="4" t="s">
        <v>74</v>
      </c>
      <c r="AE11">
        <v>3.2000000000000001E-2</v>
      </c>
      <c r="AF11">
        <v>-9.7000000000000003E-3</v>
      </c>
      <c r="AG11">
        <v>-1.2290000000000001E-2</v>
      </c>
      <c r="AH11">
        <v>8.0000000000000002E-3</v>
      </c>
      <c r="AI11">
        <v>-1.1000000000000001E-3</v>
      </c>
      <c r="AJ11">
        <v>0.5</v>
      </c>
      <c r="AK11">
        <v>0.02</v>
      </c>
      <c r="AL11">
        <v>0.02</v>
      </c>
      <c r="AM11">
        <v>1.9439999999999999E-2</v>
      </c>
      <c r="AN11">
        <v>1.9910000000000001E-2</v>
      </c>
      <c r="AO11">
        <v>1.9400000000000001E-2</v>
      </c>
      <c r="AP11">
        <v>1.9400000000000001E-2</v>
      </c>
      <c r="AQ11">
        <v>1.8800000000000001E-2</v>
      </c>
      <c r="AR11">
        <v>1.9869999999999999E-2</v>
      </c>
      <c r="AS11">
        <v>1.9279999999999999E-2</v>
      </c>
      <c r="AT11">
        <v>1.9300000000000001E-2</v>
      </c>
      <c r="AU11">
        <v>1.95E-2</v>
      </c>
      <c r="AV11">
        <v>1.9290000000000002E-2</v>
      </c>
      <c r="AW11">
        <v>-1.259E-2</v>
      </c>
      <c r="AX11">
        <v>-1.259E-2</v>
      </c>
      <c r="AY11">
        <v>-8.6999999999999994E-3</v>
      </c>
      <c r="AZ11">
        <v>-1.3310000000000001E-2</v>
      </c>
      <c r="BA11">
        <v>-1.2829999999999999E-2</v>
      </c>
      <c r="BB11">
        <v>-1.2290000000000001E-2</v>
      </c>
      <c r="BC11">
        <v>-4.8999999999999998E-3</v>
      </c>
      <c r="BD11">
        <v>1.242E-2</v>
      </c>
      <c r="BE11">
        <v>4.0000000000000001E-3</v>
      </c>
      <c r="BF11">
        <v>5.5100000000000001E-3</v>
      </c>
      <c r="BG11">
        <v>4.1200000000000004E-3</v>
      </c>
      <c r="BH11">
        <v>7.4000000000000003E-3</v>
      </c>
      <c r="BI11">
        <v>1.0120000000000001E-2</v>
      </c>
      <c r="BJ11">
        <v>3.81E-3</v>
      </c>
      <c r="BK11" t="s">
        <v>75</v>
      </c>
    </row>
    <row r="12" spans="1:63" x14ac:dyDescent="0.25">
      <c r="A12" t="s">
        <v>76</v>
      </c>
      <c r="C12" s="1">
        <v>101250.18</v>
      </c>
      <c r="D12" s="1">
        <v>0</v>
      </c>
      <c r="E12" s="1"/>
      <c r="F12" s="1"/>
      <c r="G12" s="1">
        <v>2398.56</v>
      </c>
      <c r="H12" s="1">
        <v>3483.59</v>
      </c>
      <c r="I12" s="1">
        <v>3913.26</v>
      </c>
      <c r="J12" s="1">
        <v>4666.67</v>
      </c>
      <c r="K12" s="1">
        <v>3500</v>
      </c>
      <c r="L12" s="1">
        <v>3500</v>
      </c>
      <c r="M12" s="1">
        <v>1750</v>
      </c>
      <c r="N12" s="1">
        <v>347.42</v>
      </c>
      <c r="O12" s="1">
        <v>658.83</v>
      </c>
      <c r="P12" s="1">
        <v>2256.38</v>
      </c>
      <c r="Q12" s="1">
        <v>3848.31</v>
      </c>
      <c r="R12" s="1">
        <v>8750.33</v>
      </c>
      <c r="S12" s="1">
        <v>15640.48</v>
      </c>
      <c r="T12" s="1">
        <v>19730.830000000002</v>
      </c>
      <c r="U12" s="1">
        <v>14740.81</v>
      </c>
      <c r="V12" s="1">
        <v>11017.75</v>
      </c>
      <c r="W12" s="1">
        <v>1046.96</v>
      </c>
      <c r="X12" s="1">
        <v>0</v>
      </c>
      <c r="Y12" s="1">
        <v>0</v>
      </c>
      <c r="Z12" s="1">
        <v>0</v>
      </c>
      <c r="AA12" s="1">
        <v>0</v>
      </c>
      <c r="AB12" t="s">
        <v>76</v>
      </c>
      <c r="AE12">
        <v>-4.3499999999999997E-3</v>
      </c>
      <c r="AF12">
        <v>-2.7000000000000001E-3</v>
      </c>
      <c r="AG12">
        <v>-2.6700000000000001E-3</v>
      </c>
      <c r="AH12">
        <v>-3.29E-3</v>
      </c>
      <c r="AI12">
        <v>-3.0300000000000001E-3</v>
      </c>
      <c r="AJ12">
        <v>-2.6099999999999999E-3</v>
      </c>
      <c r="AK12">
        <v>-4.6800000000000001E-3</v>
      </c>
      <c r="AL12">
        <v>-4.6699999999999997E-3</v>
      </c>
      <c r="AM12">
        <v>-4.6699999999999997E-3</v>
      </c>
      <c r="AN12">
        <v>-4.6800000000000001E-3</v>
      </c>
      <c r="AO12">
        <v>-4.6699999999999997E-3</v>
      </c>
      <c r="AP12">
        <v>-4.6699999999999997E-3</v>
      </c>
      <c r="AQ12">
        <v>-4.13E-3</v>
      </c>
      <c r="AR12">
        <v>-4.6600000000000001E-3</v>
      </c>
      <c r="AS12">
        <v>-4.6600000000000001E-3</v>
      </c>
      <c r="AT12">
        <v>-4.6699999999999997E-3</v>
      </c>
      <c r="AU12">
        <v>-4.6699999999999997E-3</v>
      </c>
      <c r="AV12">
        <v>-4.6699999999999997E-3</v>
      </c>
      <c r="AW12">
        <v>-2.7699999999999999E-3</v>
      </c>
      <c r="AX12">
        <v>-2.6099999999999999E-3</v>
      </c>
      <c r="AY12">
        <v>-2.47E-3</v>
      </c>
      <c r="AZ12">
        <v>-2.63E-3</v>
      </c>
      <c r="BA12">
        <v>-2.6099999999999999E-3</v>
      </c>
      <c r="BB12">
        <v>-2.5899999999999999E-3</v>
      </c>
      <c r="BC12">
        <v>-2.3700000000000001E-3</v>
      </c>
      <c r="BD12">
        <v>0.13947000000000001</v>
      </c>
      <c r="BE12">
        <v>-2.0999999999999999E-3</v>
      </c>
      <c r="BF12">
        <v>-2.0999999999999999E-3</v>
      </c>
      <c r="BG12">
        <v>-2.0999999999999999E-3</v>
      </c>
      <c r="BH12">
        <v>6.1500000000000001E-3</v>
      </c>
      <c r="BI12">
        <v>9.2300000000000004E-3</v>
      </c>
      <c r="BJ12">
        <v>-2.0699999999999998E-3</v>
      </c>
    </row>
    <row r="13" spans="1:63" x14ac:dyDescent="0.25">
      <c r="A13" t="s">
        <v>77</v>
      </c>
      <c r="C13" s="1">
        <v>99801.11</v>
      </c>
      <c r="D13" s="1">
        <v>2040.61</v>
      </c>
      <c r="E13" s="1">
        <v>1496.75</v>
      </c>
      <c r="F13" s="1">
        <v>1311.53</v>
      </c>
      <c r="G13" s="1">
        <v>1197.23</v>
      </c>
      <c r="H13" s="1">
        <v>802.83</v>
      </c>
      <c r="I13" s="1">
        <v>897.6</v>
      </c>
      <c r="J13" s="1">
        <v>1087.27</v>
      </c>
      <c r="K13" s="1">
        <v>822.49</v>
      </c>
      <c r="L13" s="1">
        <v>1233.1199999999999</v>
      </c>
      <c r="M13" s="1">
        <v>2381.19</v>
      </c>
      <c r="N13" s="1">
        <v>4127.3</v>
      </c>
      <c r="O13" s="1">
        <v>5372.08</v>
      </c>
      <c r="P13" s="1">
        <v>5905.86</v>
      </c>
      <c r="Q13" s="1">
        <v>7345.69</v>
      </c>
      <c r="R13" s="1">
        <v>8718.3700000000008</v>
      </c>
      <c r="S13" s="1">
        <v>9151</v>
      </c>
      <c r="T13" s="1">
        <v>10821.32</v>
      </c>
      <c r="U13" s="1">
        <v>10302.42</v>
      </c>
      <c r="V13" s="1">
        <v>9283.5400000000009</v>
      </c>
      <c r="W13" s="1">
        <v>6435.89</v>
      </c>
      <c r="X13" s="1">
        <v>2234.67</v>
      </c>
      <c r="Y13" s="1">
        <v>2028.78</v>
      </c>
      <c r="Z13" s="1">
        <v>2482.6999999999998</v>
      </c>
      <c r="AA13" s="1">
        <v>2320.87</v>
      </c>
      <c r="AB13" s="4" t="s">
        <v>77</v>
      </c>
      <c r="AE13">
        <v>-3.1870000000000002E-2</v>
      </c>
      <c r="AF13">
        <v>1.059E-2</v>
      </c>
      <c r="AG13">
        <v>1.342E-2</v>
      </c>
      <c r="AH13">
        <v>-9.4000000000000004E-3</v>
      </c>
      <c r="AI13">
        <v>9.7000000000000005E-4</v>
      </c>
      <c r="AJ13">
        <v>0.46755000000000002</v>
      </c>
      <c r="AK13">
        <v>-2.189E-2</v>
      </c>
      <c r="AL13">
        <v>-2.2599999999999999E-2</v>
      </c>
      <c r="AM13">
        <v>-2.5200000000000001E-3</v>
      </c>
      <c r="AN13">
        <v>-2.308E-2</v>
      </c>
      <c r="AO13">
        <v>-2.2530000000000001E-2</v>
      </c>
      <c r="AP13">
        <v>-2.5300000000000001E-3</v>
      </c>
      <c r="AQ13">
        <v>-2.1219999999999999E-2</v>
      </c>
      <c r="AR13">
        <v>-2.3029999999999998E-2</v>
      </c>
      <c r="AS13">
        <v>-2.232E-2</v>
      </c>
      <c r="AT13">
        <v>-2.232E-2</v>
      </c>
      <c r="AU13">
        <v>-2.2519999999999998E-2</v>
      </c>
      <c r="AV13">
        <v>-2.2349999999999998E-2</v>
      </c>
      <c r="AW13">
        <v>1.4999999999999999E-2</v>
      </c>
      <c r="AX13">
        <v>1.3860000000000001E-2</v>
      </c>
      <c r="AY13">
        <v>1.0019999999999999E-2</v>
      </c>
      <c r="AZ13">
        <v>1.455E-2</v>
      </c>
      <c r="BA13">
        <v>1.4149999999999999E-2</v>
      </c>
      <c r="BB13">
        <v>1.362E-2</v>
      </c>
      <c r="BC13">
        <v>5.5999999999999999E-3</v>
      </c>
      <c r="BD13">
        <v>-1.511E-2</v>
      </c>
      <c r="BE13">
        <v>-5.0099999999999997E-3</v>
      </c>
      <c r="BF13">
        <v>-7.1799999999999998E-3</v>
      </c>
      <c r="BG13">
        <v>-5.0200000000000002E-3</v>
      </c>
      <c r="BH13">
        <v>-9.4199999999999996E-3</v>
      </c>
      <c r="BI13">
        <v>-1.238E-2</v>
      </c>
      <c r="BJ13">
        <v>-5.1399999999999996E-3</v>
      </c>
      <c r="BK13" t="s">
        <v>75</v>
      </c>
    </row>
    <row r="14" spans="1:63" x14ac:dyDescent="0.25">
      <c r="A14" t="s">
        <v>78</v>
      </c>
      <c r="C14" s="1">
        <v>93639.82</v>
      </c>
      <c r="D14" s="1">
        <v>8003.2</v>
      </c>
      <c r="E14" s="1">
        <v>7850.59</v>
      </c>
      <c r="F14" s="1">
        <v>7882.16</v>
      </c>
      <c r="G14" s="1">
        <v>7830.67</v>
      </c>
      <c r="H14" s="1">
        <v>7086.51</v>
      </c>
      <c r="I14" s="1">
        <v>7565.07</v>
      </c>
      <c r="J14" s="1">
        <v>5873.66</v>
      </c>
      <c r="K14" s="1">
        <v>5270.89</v>
      </c>
      <c r="L14" s="1">
        <v>3777.6</v>
      </c>
      <c r="M14" s="1">
        <v>3998.96</v>
      </c>
      <c r="N14" s="1">
        <v>1519.44</v>
      </c>
      <c r="O14" s="1">
        <v>620.13</v>
      </c>
      <c r="P14" s="1">
        <v>308.08999999999997</v>
      </c>
      <c r="Q14" s="1">
        <v>216.82</v>
      </c>
      <c r="R14" s="1">
        <v>235.11</v>
      </c>
      <c r="S14" s="1">
        <v>297.52</v>
      </c>
      <c r="T14" s="1">
        <v>162.86000000000001</v>
      </c>
      <c r="U14" s="1">
        <v>289.44</v>
      </c>
      <c r="V14" s="1">
        <v>744.93</v>
      </c>
      <c r="W14" s="1">
        <v>1399.59</v>
      </c>
      <c r="X14" s="1">
        <v>2948.97</v>
      </c>
      <c r="Y14" s="1">
        <v>4632.99</v>
      </c>
      <c r="Z14" s="1">
        <v>7845.21</v>
      </c>
      <c r="AA14" s="1">
        <v>7279.41</v>
      </c>
      <c r="AB14" t="s">
        <v>78</v>
      </c>
      <c r="AE14">
        <v>0.05</v>
      </c>
      <c r="AF14">
        <v>3.14E-3</v>
      </c>
      <c r="AG14">
        <v>1.1999999999999999E-3</v>
      </c>
      <c r="AH14">
        <v>1.4E-2</v>
      </c>
      <c r="AI14">
        <v>8.7600000000000004E-3</v>
      </c>
      <c r="AJ14">
        <v>-1.4970000000000001E-2</v>
      </c>
      <c r="AK14">
        <v>3.9500000000000004E-3</v>
      </c>
      <c r="AL14">
        <v>5.2900000000000004E-3</v>
      </c>
      <c r="AM14">
        <v>4.9399999999999999E-3</v>
      </c>
      <c r="AN14">
        <v>6.1500000000000001E-3</v>
      </c>
      <c r="AO14">
        <v>5.0499999999999998E-3</v>
      </c>
      <c r="AP14">
        <v>5.0499999999999998E-3</v>
      </c>
      <c r="AQ14">
        <v>2.5999999999999999E-3</v>
      </c>
      <c r="AR14">
        <v>7.26E-3</v>
      </c>
      <c r="AS14">
        <v>5.4000000000000003E-3</v>
      </c>
      <c r="AT14">
        <v>5.5890000000000002E-3</v>
      </c>
      <c r="AU14">
        <v>5.7879999999999997E-3</v>
      </c>
      <c r="AV14">
        <v>5.5059999999999996E-3</v>
      </c>
      <c r="AW14">
        <v>9.4539999999999999E-4</v>
      </c>
      <c r="AX14">
        <v>9.7900000000000005E-4</v>
      </c>
      <c r="AY14">
        <v>4.7100000000000001E-4</v>
      </c>
      <c r="AZ14">
        <v>9.8900000000000008E-4</v>
      </c>
      <c r="BA14">
        <v>8.61E-4</v>
      </c>
      <c r="BB14">
        <v>8.1099999999999998E-4</v>
      </c>
      <c r="BC14">
        <v>3.1500000000000001E-4</v>
      </c>
      <c r="BD14">
        <v>-4.4000000000000002E-4</v>
      </c>
      <c r="BE14">
        <v>1.25E-4</v>
      </c>
      <c r="BF14">
        <v>1.8000000000000001E-4</v>
      </c>
      <c r="BG14">
        <v>1.25E-4</v>
      </c>
      <c r="BH14" t="s">
        <v>64</v>
      </c>
      <c r="BI14">
        <v>1.1900000000000001E-4</v>
      </c>
      <c r="BJ14">
        <v>1.2300000000000001E-4</v>
      </c>
    </row>
    <row r="15" spans="1:63" x14ac:dyDescent="0.25">
      <c r="A15" t="s">
        <v>79</v>
      </c>
      <c r="C15" s="1">
        <v>89022.35</v>
      </c>
      <c r="D15" s="1">
        <v>2829.71</v>
      </c>
      <c r="E15" s="1">
        <v>3402.85</v>
      </c>
      <c r="F15" s="1">
        <v>5549.1</v>
      </c>
      <c r="G15" s="1">
        <v>5771.66</v>
      </c>
      <c r="H15" s="1">
        <v>4595.97</v>
      </c>
      <c r="I15" s="1">
        <v>1596.84</v>
      </c>
      <c r="J15" s="1">
        <v>1709.64</v>
      </c>
      <c r="K15" s="1">
        <v>2028.79</v>
      </c>
      <c r="L15" s="1">
        <v>3249.59</v>
      </c>
      <c r="M15" s="1">
        <v>3074.47</v>
      </c>
      <c r="N15" s="1">
        <v>1604.16</v>
      </c>
      <c r="O15" s="1">
        <v>1667.8</v>
      </c>
      <c r="P15" s="1">
        <v>5914.93</v>
      </c>
      <c r="Q15" s="1">
        <v>4798.75</v>
      </c>
      <c r="R15" s="1">
        <v>7461.95</v>
      </c>
      <c r="S15" s="1">
        <v>12137.93</v>
      </c>
      <c r="T15" s="1">
        <v>5665.36</v>
      </c>
      <c r="U15" s="1">
        <v>4234.92</v>
      </c>
      <c r="V15" s="1">
        <v>2218.84</v>
      </c>
      <c r="W15" s="1">
        <v>350</v>
      </c>
      <c r="X15" s="1">
        <v>349.43</v>
      </c>
      <c r="Y15" s="1">
        <v>890.85</v>
      </c>
      <c r="Z15" s="1">
        <v>3835.7</v>
      </c>
      <c r="AA15" s="1">
        <v>4083.11</v>
      </c>
      <c r="AB15" t="s">
        <v>79</v>
      </c>
      <c r="AE15">
        <v>0.06</v>
      </c>
      <c r="AF15">
        <v>-1.0690000000000001E-3</v>
      </c>
      <c r="AG15">
        <v>-5.1099999999999995E-4</v>
      </c>
      <c r="AH15">
        <v>-4.5170000000000002E-3</v>
      </c>
      <c r="AI15">
        <v>-2.764E-3</v>
      </c>
      <c r="AJ15">
        <v>-1.078E-3</v>
      </c>
      <c r="AK15">
        <v>-9.7799999999999992E-4</v>
      </c>
      <c r="AL15">
        <v>-1.034E-3</v>
      </c>
      <c r="AM15">
        <v>-9.3499999999999996E-4</v>
      </c>
      <c r="AN15">
        <v>-1.085E-3</v>
      </c>
      <c r="AO15">
        <v>-9.7499999999999996E-4</v>
      </c>
      <c r="AP15">
        <v>-9.7499999999999996E-4</v>
      </c>
      <c r="AQ15">
        <v>-6.8099999999999996E-4</v>
      </c>
      <c r="AR15">
        <v>-1.6019999999999999E-3</v>
      </c>
      <c r="AS15">
        <v>-9.3199999999999999E-4</v>
      </c>
      <c r="AT15">
        <v>-9.5100000000000002E-4</v>
      </c>
      <c r="AU15">
        <v>-9.2900000000000003E-4</v>
      </c>
      <c r="AV15">
        <v>-9.2400000000000002E-4</v>
      </c>
      <c r="AW15">
        <v>-2.4600000000000002E-4</v>
      </c>
      <c r="AX15">
        <v>-2.5500000000000002E-4</v>
      </c>
      <c r="AY15">
        <v>-1E-4</v>
      </c>
      <c r="AZ15">
        <v>-2.5599999999999999E-4</v>
      </c>
      <c r="BA15">
        <v>-2.2000000000000001E-4</v>
      </c>
      <c r="BB15">
        <v>-2.0799999999999999E-4</v>
      </c>
      <c r="BC15" t="s">
        <v>64</v>
      </c>
      <c r="BD15" t="s">
        <v>64</v>
      </c>
      <c r="BE15" t="s">
        <v>64</v>
      </c>
      <c r="BF15" t="s">
        <v>64</v>
      </c>
      <c r="BG15" t="s">
        <v>64</v>
      </c>
      <c r="BH15" t="s">
        <v>64</v>
      </c>
      <c r="BI15" t="s">
        <v>64</v>
      </c>
      <c r="BJ15" t="s">
        <v>64</v>
      </c>
    </row>
    <row r="16" spans="1:63" x14ac:dyDescent="0.25">
      <c r="A16" t="s">
        <v>80</v>
      </c>
      <c r="C16" s="1">
        <v>89021.72</v>
      </c>
      <c r="D16" s="1">
        <v>3789.99</v>
      </c>
      <c r="E16" s="1">
        <v>3172.48</v>
      </c>
      <c r="F16" s="1">
        <v>3064.52</v>
      </c>
      <c r="G16" s="1">
        <v>3075.23</v>
      </c>
      <c r="H16" s="1">
        <v>3171.1</v>
      </c>
      <c r="I16" s="1">
        <v>4517.58</v>
      </c>
      <c r="J16" s="1">
        <v>5196.07</v>
      </c>
      <c r="K16" s="1">
        <v>5373.49</v>
      </c>
      <c r="L16" s="1">
        <v>1727.02</v>
      </c>
      <c r="M16" s="1">
        <v>557.12</v>
      </c>
      <c r="N16" s="1">
        <v>454.9</v>
      </c>
      <c r="O16" s="1">
        <v>439.05</v>
      </c>
      <c r="P16" s="1">
        <v>423.35</v>
      </c>
      <c r="Q16" s="1">
        <v>429.37</v>
      </c>
      <c r="R16" s="1">
        <v>190.28</v>
      </c>
      <c r="S16" s="1">
        <v>55.57</v>
      </c>
      <c r="T16" s="1">
        <v>707.6</v>
      </c>
      <c r="U16" s="1">
        <v>3364.43</v>
      </c>
      <c r="V16" s="1">
        <v>7098.8</v>
      </c>
      <c r="W16" s="1">
        <v>5392.5</v>
      </c>
      <c r="X16" s="1">
        <v>9584.25</v>
      </c>
      <c r="Y16" s="1">
        <v>11626.19</v>
      </c>
      <c r="Z16" s="1">
        <v>9016.85</v>
      </c>
      <c r="AA16" s="1">
        <v>6593.98</v>
      </c>
      <c r="AB16" t="s">
        <v>80</v>
      </c>
      <c r="AE16">
        <v>4.2000000000000003E-2</v>
      </c>
      <c r="AF16">
        <v>0.08</v>
      </c>
      <c r="AG16">
        <v>5.4725000000000003E-2</v>
      </c>
      <c r="AH16">
        <v>4.3400000000000001E-2</v>
      </c>
      <c r="AI16">
        <v>5.0354999999999997E-2</v>
      </c>
      <c r="AJ16">
        <v>2.9340000000000001E-2</v>
      </c>
      <c r="AK16">
        <v>3.6999999999999998E-2</v>
      </c>
      <c r="AL16">
        <v>3.9E-2</v>
      </c>
      <c r="AM16">
        <v>1.9876999999999999E-2</v>
      </c>
      <c r="AN16">
        <v>2.1482000000000001E-2</v>
      </c>
      <c r="AO16">
        <v>1.9876000000000001E-2</v>
      </c>
      <c r="AP16">
        <v>1.9876000000000001E-2</v>
      </c>
      <c r="AQ16">
        <v>1.5702000000000001E-2</v>
      </c>
      <c r="AR16">
        <v>2.1004999999999999E-2</v>
      </c>
      <c r="AS16">
        <v>1.9272000000000001E-2</v>
      </c>
      <c r="AT16">
        <v>1.9375E-2</v>
      </c>
      <c r="AU16">
        <v>1.9855000000000001E-2</v>
      </c>
      <c r="AV16">
        <v>1.9362000000000001E-2</v>
      </c>
      <c r="AW16">
        <v>5.1999999999999998E-2</v>
      </c>
      <c r="AX16">
        <v>3.2724999999999997E-2</v>
      </c>
      <c r="AY16">
        <v>-7.1386000000000005E-2</v>
      </c>
      <c r="AZ16">
        <v>5.6132000000000001E-2</v>
      </c>
      <c r="BA16">
        <v>2.1482000000000001E-2</v>
      </c>
      <c r="BB16">
        <v>1.6778999999999999E-2</v>
      </c>
      <c r="BC16">
        <v>-7.0900000000000005E-2</v>
      </c>
      <c r="BD16">
        <v>6.9899999999999997E-3</v>
      </c>
      <c r="BE16">
        <v>-8.0000000000000002E-3</v>
      </c>
      <c r="BF16">
        <v>-3.5000000000000001E-3</v>
      </c>
      <c r="BG16">
        <v>-8.0000000000000002E-3</v>
      </c>
      <c r="BH16">
        <v>1.1000000000000001E-3</v>
      </c>
      <c r="BI16">
        <v>3.8449999999999999E-3</v>
      </c>
      <c r="BJ16">
        <v>-7.4000000000000003E-3</v>
      </c>
    </row>
    <row r="17" spans="1:63" x14ac:dyDescent="0.25">
      <c r="A17" t="s">
        <v>81</v>
      </c>
      <c r="C17" s="1">
        <v>84322.9</v>
      </c>
      <c r="D17" s="1">
        <v>1311.99</v>
      </c>
      <c r="E17" s="1">
        <v>791.19</v>
      </c>
      <c r="F17" s="1">
        <v>474.4</v>
      </c>
      <c r="G17" s="1">
        <v>433.31</v>
      </c>
      <c r="H17" s="1">
        <v>368.34</v>
      </c>
      <c r="I17" s="1">
        <v>622.26</v>
      </c>
      <c r="J17" s="1">
        <v>345.87</v>
      </c>
      <c r="K17" s="1">
        <v>317.93</v>
      </c>
      <c r="L17" s="1">
        <v>262.52999999999997</v>
      </c>
      <c r="M17" s="1">
        <v>1179.02</v>
      </c>
      <c r="N17" s="1">
        <v>1305.3499999999999</v>
      </c>
      <c r="O17" s="1">
        <v>1513.93</v>
      </c>
      <c r="P17" s="1">
        <v>1433.25</v>
      </c>
      <c r="Q17" s="1">
        <v>1890.45</v>
      </c>
      <c r="R17" s="1">
        <v>3115.82</v>
      </c>
      <c r="S17" s="1">
        <v>4385.6000000000004</v>
      </c>
      <c r="T17" s="1">
        <v>5650.32</v>
      </c>
      <c r="U17" s="1">
        <v>8258.8799999999992</v>
      </c>
      <c r="V17" s="1">
        <v>13547.46</v>
      </c>
      <c r="W17" s="1">
        <v>17042.59</v>
      </c>
      <c r="X17" s="1">
        <v>8067.77</v>
      </c>
      <c r="Y17" s="1">
        <v>7311.33</v>
      </c>
      <c r="Z17" s="1">
        <v>2719.71</v>
      </c>
      <c r="AA17" s="1">
        <v>1973.6</v>
      </c>
      <c r="AB17" t="s">
        <v>81</v>
      </c>
      <c r="AE17">
        <v>6.7000000000000002E-3</v>
      </c>
      <c r="AF17">
        <v>-0.10938199999999999</v>
      </c>
      <c r="AG17">
        <v>-0.15711</v>
      </c>
      <c r="AH17">
        <v>-3.3451000000000002E-2</v>
      </c>
      <c r="AI17">
        <v>-6.0294E-2</v>
      </c>
      <c r="AJ17">
        <v>1.7014999999999999E-2</v>
      </c>
      <c r="AK17">
        <v>9.2270000000000008E-3</v>
      </c>
      <c r="AL17">
        <v>1.0364999999999999E-2</v>
      </c>
      <c r="AM17">
        <v>1.34E-2</v>
      </c>
      <c r="AN17">
        <v>1.1131E-2</v>
      </c>
      <c r="AO17">
        <v>1.0315E-2</v>
      </c>
      <c r="AP17">
        <v>1.0315E-2</v>
      </c>
      <c r="AQ17">
        <v>8.0630000000000007E-3</v>
      </c>
      <c r="AR17">
        <v>1.0544E-2</v>
      </c>
      <c r="AS17">
        <v>1.0005999999999999E-2</v>
      </c>
      <c r="AT17">
        <v>1.0054E-2</v>
      </c>
      <c r="AU17">
        <v>1.0331E-2</v>
      </c>
      <c r="AV17">
        <v>1.0061E-2</v>
      </c>
      <c r="AW17">
        <v>-0.22122</v>
      </c>
      <c r="AX17">
        <v>-0.21512100000000001</v>
      </c>
      <c r="AY17">
        <v>-7.7072000000000002E-2</v>
      </c>
      <c r="AZ17">
        <v>-0.20037099999999999</v>
      </c>
      <c r="BA17">
        <v>-0.18574599999999999</v>
      </c>
      <c r="BB17">
        <v>-0.23061899999999999</v>
      </c>
      <c r="BC17">
        <v>-2.8594999999999999E-2</v>
      </c>
      <c r="BD17">
        <v>3.8089999999999999E-3</v>
      </c>
      <c r="BE17">
        <v>-3.6280000000000001E-3</v>
      </c>
      <c r="BF17">
        <v>-1.5900000000000001E-3</v>
      </c>
      <c r="BG17">
        <v>-3.6180000000000001E-3</v>
      </c>
      <c r="BH17">
        <v>5.7300000000000005E-4</v>
      </c>
      <c r="BI17">
        <v>2.0110000000000002E-3</v>
      </c>
      <c r="BJ17">
        <v>-3.0000000000000001E-3</v>
      </c>
    </row>
    <row r="18" spans="1:63" x14ac:dyDescent="0.25">
      <c r="A18" t="s">
        <v>82</v>
      </c>
      <c r="C18" s="1">
        <v>80643.09</v>
      </c>
      <c r="D18" s="1">
        <v>5632.42</v>
      </c>
      <c r="E18" s="1">
        <v>5200.5600000000004</v>
      </c>
      <c r="F18" s="1">
        <v>4901.54</v>
      </c>
      <c r="G18" s="1">
        <v>4864.88</v>
      </c>
      <c r="H18" s="1">
        <v>4652.8500000000004</v>
      </c>
      <c r="I18" s="1">
        <v>4521.74</v>
      </c>
      <c r="J18" s="1">
        <v>4228.25</v>
      </c>
      <c r="K18" s="1">
        <v>3577.69</v>
      </c>
      <c r="L18" s="1">
        <v>2204.3200000000002</v>
      </c>
      <c r="M18" s="1">
        <v>1784.27</v>
      </c>
      <c r="N18" s="1">
        <v>1170.4000000000001</v>
      </c>
      <c r="O18" s="1">
        <v>927.38</v>
      </c>
      <c r="P18" s="1">
        <v>950.41</v>
      </c>
      <c r="Q18" s="1">
        <v>809.15</v>
      </c>
      <c r="R18" s="1">
        <v>725.08</v>
      </c>
      <c r="S18" s="1">
        <v>999.61</v>
      </c>
      <c r="T18" s="1">
        <v>1030.8</v>
      </c>
      <c r="U18" s="1">
        <v>999.21</v>
      </c>
      <c r="V18" s="1">
        <v>2766.44</v>
      </c>
      <c r="W18" s="1">
        <v>4376.2299999999996</v>
      </c>
      <c r="X18" s="1">
        <v>4630.51</v>
      </c>
      <c r="Y18" s="1">
        <v>7010.36</v>
      </c>
      <c r="Z18" s="1">
        <v>6743.45</v>
      </c>
      <c r="AA18" s="1">
        <v>5935.54</v>
      </c>
      <c r="AB18" t="s">
        <v>82</v>
      </c>
      <c r="AE18">
        <v>-0.04</v>
      </c>
      <c r="AF18">
        <v>1.2200000000000001E-2</v>
      </c>
      <c r="AG18">
        <v>1.8239999999999999E-2</v>
      </c>
      <c r="AH18">
        <v>-1.362E-2</v>
      </c>
      <c r="AI18">
        <v>-1.1999999999999999E-3</v>
      </c>
      <c r="AJ18">
        <v>-2.52E-2</v>
      </c>
      <c r="AK18">
        <v>-4.505E-2</v>
      </c>
      <c r="AL18">
        <v>-0.04</v>
      </c>
      <c r="AM18">
        <v>-4.3999999999999997E-2</v>
      </c>
      <c r="AN18">
        <v>-4.3999999999999997E-2</v>
      </c>
      <c r="AO18">
        <v>-4.3999999999999997E-2</v>
      </c>
      <c r="AP18">
        <v>-4.3999999999999997E-2</v>
      </c>
      <c r="AQ18">
        <v>-4.4999999999999997E-3</v>
      </c>
      <c r="AR18">
        <v>-4.4000000000000003E-3</v>
      </c>
      <c r="AS18">
        <v>-4.3999999999999997E-2</v>
      </c>
      <c r="AT18">
        <v>-4.3999999999999997E-2</v>
      </c>
      <c r="AU18">
        <v>-4.3999999999999997E-2</v>
      </c>
      <c r="AV18">
        <v>-4.3999999999999997E-2</v>
      </c>
      <c r="AW18">
        <v>2.1000000000000001E-2</v>
      </c>
      <c r="AX18">
        <v>2.1000000000000001E-2</v>
      </c>
      <c r="AY18">
        <v>2.0799999999999999E-2</v>
      </c>
      <c r="AZ18">
        <v>2.0899999999999998E-2</v>
      </c>
      <c r="BA18">
        <v>2.1000000000000001E-2</v>
      </c>
      <c r="BB18">
        <v>2.1000000000000001E-2</v>
      </c>
      <c r="BC18">
        <v>1.7999999999999999E-2</v>
      </c>
      <c r="BD18">
        <v>-3.5000000000000003E-2</v>
      </c>
      <c r="BE18">
        <v>-2E-3</v>
      </c>
      <c r="BF18">
        <v>-1.2E-2</v>
      </c>
      <c r="BG18">
        <v>-2E-3</v>
      </c>
      <c r="BH18">
        <v>-2.1000000000000001E-2</v>
      </c>
      <c r="BI18">
        <v>-2.9000000000000001E-2</v>
      </c>
      <c r="BJ18">
        <v>-2E-3</v>
      </c>
    </row>
    <row r="19" spans="1:63" x14ac:dyDescent="0.25">
      <c r="A19" t="s">
        <v>83</v>
      </c>
      <c r="C19" s="1">
        <v>79252.55</v>
      </c>
      <c r="D19" s="1">
        <v>11497.71</v>
      </c>
      <c r="E19" s="1">
        <v>8541.15</v>
      </c>
      <c r="F19" s="1">
        <v>6992.86</v>
      </c>
      <c r="G19" s="1">
        <v>9570.23</v>
      </c>
      <c r="H19" s="1">
        <v>7538.91</v>
      </c>
      <c r="I19" s="1">
        <v>6370.11</v>
      </c>
      <c r="J19" s="1">
        <v>2965.11</v>
      </c>
      <c r="K19" s="1">
        <v>0</v>
      </c>
      <c r="L19" s="1">
        <v>0</v>
      </c>
      <c r="M19" s="1">
        <v>16.54</v>
      </c>
      <c r="N19" s="1">
        <v>107.66</v>
      </c>
      <c r="O19" s="1">
        <v>2073.3200000000002</v>
      </c>
      <c r="P19" s="1">
        <v>1309.31</v>
      </c>
      <c r="Q19" s="1">
        <v>36.119999999999997</v>
      </c>
      <c r="R19" s="1">
        <v>47.38</v>
      </c>
      <c r="S19" s="1">
        <v>12.75</v>
      </c>
      <c r="T19" s="1">
        <v>27.2</v>
      </c>
      <c r="U19" s="1">
        <v>0</v>
      </c>
      <c r="V19" s="1"/>
      <c r="W19" s="1">
        <v>445.87</v>
      </c>
      <c r="X19" s="1">
        <v>2970.27</v>
      </c>
      <c r="Y19" s="1">
        <v>5165.6499999999996</v>
      </c>
      <c r="Z19" s="1">
        <v>4968.28</v>
      </c>
      <c r="AA19" s="1">
        <v>8596.1200000000008</v>
      </c>
      <c r="AB19" t="s">
        <v>83</v>
      </c>
      <c r="AE19">
        <v>7.2520000000000001E-2</v>
      </c>
      <c r="AF19">
        <v>2E-3</v>
      </c>
      <c r="AG19">
        <v>4.0000000000000002E-4</v>
      </c>
      <c r="AH19">
        <v>1.4E-2</v>
      </c>
      <c r="AI19">
        <v>8.5000000000000006E-3</v>
      </c>
      <c r="AJ19" t="s">
        <v>64</v>
      </c>
      <c r="AK19">
        <v>4.0000000000000001E-3</v>
      </c>
      <c r="AL19">
        <v>6.7000000000000002E-3</v>
      </c>
      <c r="AM19">
        <v>6.4000000000000003E-3</v>
      </c>
      <c r="AN19">
        <v>7.0000000000000001E-3</v>
      </c>
      <c r="AO19">
        <v>6.0000000000000001E-3</v>
      </c>
      <c r="AP19">
        <v>6.7999999999999996E-3</v>
      </c>
      <c r="AQ19">
        <v>2E-3</v>
      </c>
      <c r="AR19">
        <v>8.0000000000000002E-3</v>
      </c>
      <c r="AS19">
        <v>5.8999999999999999E-3</v>
      </c>
      <c r="AT19">
        <v>6.0000000000000001E-3</v>
      </c>
      <c r="AU19">
        <v>6.3E-3</v>
      </c>
      <c r="AV19">
        <v>5.9899999999999997E-3</v>
      </c>
      <c r="AW19">
        <v>-4.0000000000000002E-4</v>
      </c>
      <c r="AX19">
        <v>-4.0000000000000002E-4</v>
      </c>
      <c r="AY19">
        <v>-8.0000000000000004E-4</v>
      </c>
      <c r="AZ19">
        <v>-4.0000000000000002E-4</v>
      </c>
      <c r="BA19">
        <v>-5.0000000000000001E-4</v>
      </c>
      <c r="BB19">
        <v>-5.0000000000000001E-4</v>
      </c>
      <c r="BC19">
        <v>-8.9999999999999998E-4</v>
      </c>
      <c r="BD19">
        <v>-1E-3</v>
      </c>
      <c r="BE19">
        <v>-1E-3</v>
      </c>
      <c r="BF19">
        <v>-1E-3</v>
      </c>
      <c r="BG19">
        <v>-1E-3</v>
      </c>
      <c r="BH19">
        <v>-1E-3</v>
      </c>
      <c r="BI19">
        <v>-8.0000000000000004E-4</v>
      </c>
      <c r="BJ19">
        <v>-1E-3</v>
      </c>
    </row>
    <row r="20" spans="1:63" x14ac:dyDescent="0.25">
      <c r="A20" t="s">
        <v>84</v>
      </c>
      <c r="C20" s="1">
        <v>69902.77</v>
      </c>
      <c r="D20" s="1">
        <v>961.86</v>
      </c>
      <c r="E20" s="1">
        <v>686.11</v>
      </c>
      <c r="F20" s="1">
        <v>658.72</v>
      </c>
      <c r="G20" s="1">
        <v>614.98</v>
      </c>
      <c r="H20" s="1">
        <v>640.12</v>
      </c>
      <c r="I20" s="1">
        <v>682.57</v>
      </c>
      <c r="J20" s="1">
        <v>1259.1099999999999</v>
      </c>
      <c r="K20" s="1">
        <v>1089.81</v>
      </c>
      <c r="L20" s="1">
        <v>1184.99</v>
      </c>
      <c r="M20" s="1">
        <v>2755.47</v>
      </c>
      <c r="N20" s="1">
        <v>2881.95</v>
      </c>
      <c r="O20" s="1">
        <v>3100.07</v>
      </c>
      <c r="P20" s="1">
        <v>2760.41</v>
      </c>
      <c r="Q20" s="1">
        <v>2940.27</v>
      </c>
      <c r="R20" s="1">
        <v>2933.88</v>
      </c>
      <c r="S20" s="1">
        <v>3282.39</v>
      </c>
      <c r="T20" s="1">
        <v>3767.78</v>
      </c>
      <c r="U20" s="1">
        <v>4747.29</v>
      </c>
      <c r="V20" s="1">
        <v>7725.78</v>
      </c>
      <c r="W20" s="1">
        <v>6659.42</v>
      </c>
      <c r="X20" s="1">
        <v>7378.84</v>
      </c>
      <c r="Y20" s="1">
        <v>5839.02</v>
      </c>
      <c r="Z20" s="1">
        <v>3595.43</v>
      </c>
      <c r="AA20" s="1">
        <v>1756.5</v>
      </c>
      <c r="AB20" t="s">
        <v>84</v>
      </c>
      <c r="AE20">
        <v>-3.5000000000000003E-2</v>
      </c>
      <c r="AF20">
        <v>-7.0000000000000001E-3</v>
      </c>
      <c r="AG20">
        <v>-6.0000000000000001E-3</v>
      </c>
      <c r="AH20">
        <v>-1.4999999999999999E-2</v>
      </c>
      <c r="AI20">
        <v>-1.0999999999999999E-2</v>
      </c>
      <c r="AJ20">
        <v>-2.1000000000000001E-2</v>
      </c>
      <c r="AK20">
        <v>-0.04</v>
      </c>
      <c r="AL20">
        <v>-0.04</v>
      </c>
      <c r="AM20">
        <v>-3.1E-2</v>
      </c>
      <c r="AN20">
        <v>-3.7999999999999999E-2</v>
      </c>
      <c r="AO20">
        <v>-3.1E-2</v>
      </c>
      <c r="AP20">
        <v>-3.1E-2</v>
      </c>
      <c r="AQ20">
        <v>-4.1000000000000002E-2</v>
      </c>
      <c r="AR20">
        <v>-3.7999999999999999E-2</v>
      </c>
      <c r="AS20">
        <v>-3.9E-2</v>
      </c>
      <c r="AT20">
        <v>-3.9E-2</v>
      </c>
      <c r="AU20">
        <v>-3.9E-2</v>
      </c>
      <c r="AV20">
        <v>-3.9E-2</v>
      </c>
      <c r="AW20">
        <v>-5.0000000000000001E-3</v>
      </c>
      <c r="AX20">
        <v>-5.0000000000000001E-3</v>
      </c>
      <c r="AY20">
        <v>-6.9999999999999999E-4</v>
      </c>
      <c r="AZ20">
        <v>-5.0000000000000001E-3</v>
      </c>
      <c r="BA20">
        <v>-5.0000000000000001E-3</v>
      </c>
      <c r="BB20">
        <v>-5.0000000000000001E-3</v>
      </c>
      <c r="BC20">
        <v>2E-3</v>
      </c>
      <c r="BD20">
        <v>-2.9000000000000001E-2</v>
      </c>
      <c r="BE20">
        <v>1.7999999999999999E-2</v>
      </c>
      <c r="BF20">
        <v>0.03</v>
      </c>
      <c r="BG20">
        <v>1.7999999999999999E-2</v>
      </c>
      <c r="BH20">
        <v>3.5000000000000003E-2</v>
      </c>
      <c r="BI20">
        <v>-3.1E-2</v>
      </c>
      <c r="BJ20">
        <v>1.7000000000000001E-2</v>
      </c>
    </row>
    <row r="21" spans="1:63" x14ac:dyDescent="0.25">
      <c r="A21" t="s">
        <v>85</v>
      </c>
      <c r="C21" s="1">
        <v>66977.23</v>
      </c>
      <c r="D21" s="1">
        <v>7020.09</v>
      </c>
      <c r="E21" s="1">
        <v>6266.66</v>
      </c>
      <c r="F21" s="1">
        <v>4919.49</v>
      </c>
      <c r="G21" s="1">
        <v>4259.09</v>
      </c>
      <c r="H21" s="1">
        <v>3567.73</v>
      </c>
      <c r="I21" s="1">
        <v>3435.13</v>
      </c>
      <c r="J21" s="1">
        <v>2862.97</v>
      </c>
      <c r="K21" s="1">
        <v>2765.02</v>
      </c>
      <c r="L21" s="1">
        <v>1893.86</v>
      </c>
      <c r="M21" s="1">
        <v>249.79</v>
      </c>
      <c r="N21" s="1">
        <v>689.63</v>
      </c>
      <c r="O21" s="1">
        <v>517.19000000000005</v>
      </c>
      <c r="P21" s="1">
        <v>412.86</v>
      </c>
      <c r="Q21" s="1">
        <v>85.78</v>
      </c>
      <c r="R21" s="1">
        <v>751.13</v>
      </c>
      <c r="S21" s="1">
        <v>949.08</v>
      </c>
      <c r="T21" s="1">
        <v>1299.32</v>
      </c>
      <c r="U21" s="1">
        <v>1445.65</v>
      </c>
      <c r="V21" s="1">
        <v>2069.65</v>
      </c>
      <c r="W21" s="1">
        <v>2776.36</v>
      </c>
      <c r="X21" s="1">
        <v>3403.54</v>
      </c>
      <c r="Y21" s="1">
        <v>5138.6400000000003</v>
      </c>
      <c r="Z21" s="1">
        <v>5349.11</v>
      </c>
      <c r="AA21" s="1">
        <v>4849.46</v>
      </c>
      <c r="AB21" t="s">
        <v>85</v>
      </c>
      <c r="AE21">
        <v>1.2200000000000001E-2</v>
      </c>
      <c r="AF21">
        <v>-2E-3</v>
      </c>
      <c r="AG21">
        <v>-4.0000000000000001E-3</v>
      </c>
      <c r="AH21">
        <v>4.0000000000000001E-3</v>
      </c>
      <c r="AI21">
        <v>8.0000000000000004E-4</v>
      </c>
      <c r="AJ21" t="s">
        <v>64</v>
      </c>
      <c r="AK21">
        <v>4.5999999999999999E-2</v>
      </c>
      <c r="AL21">
        <v>3.95E-2</v>
      </c>
      <c r="AM21">
        <v>3.9800000000000002E-2</v>
      </c>
      <c r="AN21">
        <v>3.6299999999999999E-2</v>
      </c>
      <c r="AO21">
        <v>3.9899999999999998E-2</v>
      </c>
      <c r="AP21">
        <v>3.9899999999999998E-2</v>
      </c>
      <c r="AQ21">
        <v>0.13600000000000001</v>
      </c>
      <c r="AR21">
        <v>3.7699999999999997E-2</v>
      </c>
      <c r="AS21">
        <v>4.0899999999999999E-2</v>
      </c>
      <c r="AT21">
        <v>4.1000000000000002E-2</v>
      </c>
      <c r="AU21">
        <v>3.9899999999999998E-2</v>
      </c>
      <c r="AV21">
        <v>4.1099999999999998E-2</v>
      </c>
      <c r="AW21">
        <v>-4.0000000000000001E-3</v>
      </c>
      <c r="AX21">
        <v>-4.0000000000000001E-3</v>
      </c>
      <c r="AY21">
        <v>-5.0000000000000001E-3</v>
      </c>
      <c r="AZ21">
        <v>-4.0000000000000001E-3</v>
      </c>
      <c r="BA21">
        <v>-4.0000000000000001E-3</v>
      </c>
      <c r="BB21">
        <v>-4.0000000000000001E-3</v>
      </c>
      <c r="BC21">
        <v>-5.0000000000000001E-3</v>
      </c>
      <c r="BD21">
        <v>-5.0000000000000001E-3</v>
      </c>
      <c r="BE21">
        <v>-6.0000000000000001E-3</v>
      </c>
      <c r="BF21">
        <v>-6.7000000000000002E-3</v>
      </c>
      <c r="BG21">
        <v>-6.6E-3</v>
      </c>
      <c r="BH21">
        <v>-6.8999999999999999E-3</v>
      </c>
      <c r="BI21">
        <v>-6.7999999999999996E-3</v>
      </c>
      <c r="BJ21">
        <v>-6.6E-3</v>
      </c>
    </row>
    <row r="22" spans="1:63" x14ac:dyDescent="0.25">
      <c r="A22" t="s">
        <v>86</v>
      </c>
      <c r="C22" s="1">
        <v>59751.88</v>
      </c>
      <c r="D22" s="1">
        <v>2698.34</v>
      </c>
      <c r="E22" s="1">
        <v>2135.2399999999998</v>
      </c>
      <c r="F22" s="1">
        <v>2595.0300000000002</v>
      </c>
      <c r="G22" s="1">
        <v>2635.43</v>
      </c>
      <c r="H22" s="1">
        <v>2780</v>
      </c>
      <c r="I22" s="1">
        <v>2630.49</v>
      </c>
      <c r="J22" s="1">
        <v>2489.77</v>
      </c>
      <c r="K22" s="1">
        <v>2672.6</v>
      </c>
      <c r="L22" s="1">
        <v>1383.99</v>
      </c>
      <c r="M22" s="1">
        <v>642.14</v>
      </c>
      <c r="N22" s="1">
        <v>909.49</v>
      </c>
      <c r="O22" s="1">
        <v>921.82</v>
      </c>
      <c r="P22" s="1">
        <v>696.89</v>
      </c>
      <c r="Q22" s="1">
        <v>570.21</v>
      </c>
      <c r="R22" s="1">
        <v>712.37</v>
      </c>
      <c r="S22" s="1">
        <v>1204.27</v>
      </c>
      <c r="T22" s="1">
        <v>2156.75</v>
      </c>
      <c r="U22" s="1">
        <v>3398.77</v>
      </c>
      <c r="V22" s="1">
        <v>5910.35</v>
      </c>
      <c r="W22" s="1">
        <v>6139.76</v>
      </c>
      <c r="X22" s="1">
        <v>4375.1000000000004</v>
      </c>
      <c r="Y22" s="1">
        <v>4356.49</v>
      </c>
      <c r="Z22" s="1">
        <v>2805.09</v>
      </c>
      <c r="AA22" s="1">
        <v>2931.49</v>
      </c>
      <c r="AB22" s="4" t="s">
        <v>86</v>
      </c>
      <c r="AE22">
        <v>8.9999999999999993E-3</v>
      </c>
      <c r="AF22">
        <v>0.17261000000000001</v>
      </c>
      <c r="AG22">
        <v>0.28025</v>
      </c>
      <c r="AH22">
        <v>7.0000000000000007E-2</v>
      </c>
      <c r="AI22">
        <v>9.6479999999999996E-2</v>
      </c>
      <c r="AJ22">
        <v>6.0000000000000001E-3</v>
      </c>
      <c r="AK22">
        <v>6.7000000000000002E-3</v>
      </c>
      <c r="AL22">
        <v>6.8999999999999999E-3</v>
      </c>
      <c r="AM22">
        <v>6.0000000000000001E-3</v>
      </c>
      <c r="AN22">
        <v>7.0800000000000004E-3</v>
      </c>
      <c r="AO22">
        <v>6.8799999999999998E-3</v>
      </c>
      <c r="AP22">
        <v>6.7999999999999996E-3</v>
      </c>
      <c r="AQ22">
        <v>6.2199999999999998E-3</v>
      </c>
      <c r="AR22">
        <v>7.43E-3</v>
      </c>
      <c r="AS22">
        <v>6.7999999999999996E-3</v>
      </c>
      <c r="AT22">
        <v>6.7999999999999996E-3</v>
      </c>
      <c r="AU22">
        <v>6.7999999999999996E-3</v>
      </c>
      <c r="AV22">
        <v>6.7999999999999996E-3</v>
      </c>
      <c r="AW22">
        <v>-0.08</v>
      </c>
      <c r="AX22">
        <v>-9.7000000000000003E-2</v>
      </c>
      <c r="AY22">
        <v>-3.0000000000000001E-3</v>
      </c>
      <c r="AZ22">
        <v>1.24E-2</v>
      </c>
      <c r="BA22">
        <f>-0.01133</f>
        <v>-1.133E-2</v>
      </c>
      <c r="BB22">
        <v>-3.4790000000000001E-2</v>
      </c>
      <c r="BC22">
        <v>2.9999999999999997E-4</v>
      </c>
      <c r="BD22">
        <v>4.8999999999999998E-3</v>
      </c>
      <c r="BE22">
        <v>3.5999999999999999E-3</v>
      </c>
      <c r="BF22">
        <v>4.0000000000000001E-3</v>
      </c>
      <c r="BG22">
        <v>3.6900000000000001E-3</v>
      </c>
      <c r="BH22">
        <v>4.4999999999999997E-3</v>
      </c>
      <c r="BI22">
        <v>4.7999999999999996E-3</v>
      </c>
      <c r="BJ22">
        <v>3.7499999999999999E-3</v>
      </c>
      <c r="BK22" t="s">
        <v>71</v>
      </c>
    </row>
    <row r="23" spans="1:63" x14ac:dyDescent="0.25">
      <c r="A23" t="s">
        <v>87</v>
      </c>
      <c r="C23" s="1">
        <v>59654.53</v>
      </c>
      <c r="D23" s="1">
        <v>5617.55</v>
      </c>
      <c r="E23" s="1">
        <v>5546.82</v>
      </c>
      <c r="F23" s="1">
        <v>4468.1099999999997</v>
      </c>
      <c r="G23" s="1">
        <v>3991.56</v>
      </c>
      <c r="H23" s="1">
        <v>3535.61</v>
      </c>
      <c r="I23" s="1">
        <v>4411.91</v>
      </c>
      <c r="J23" s="1">
        <v>1968.52</v>
      </c>
      <c r="K23" s="1">
        <v>1849.97</v>
      </c>
      <c r="L23" s="1">
        <v>1163.1099999999999</v>
      </c>
      <c r="M23" s="1">
        <v>779.73</v>
      </c>
      <c r="N23" s="1">
        <v>536.63</v>
      </c>
      <c r="O23" s="1">
        <v>449.55</v>
      </c>
      <c r="P23" s="1">
        <v>548.07000000000005</v>
      </c>
      <c r="Q23" s="1">
        <v>520.62</v>
      </c>
      <c r="R23" s="1">
        <v>541.11</v>
      </c>
      <c r="S23" s="1">
        <v>717.18</v>
      </c>
      <c r="T23" s="1">
        <v>1103.9000000000001</v>
      </c>
      <c r="U23" s="1">
        <v>1406.76</v>
      </c>
      <c r="V23" s="1">
        <v>1016.29</v>
      </c>
      <c r="W23" s="1">
        <v>2775.17</v>
      </c>
      <c r="X23" s="1">
        <v>2575.2199999999998</v>
      </c>
      <c r="Y23" s="1">
        <v>2936.22</v>
      </c>
      <c r="Z23" s="1">
        <v>4839.01</v>
      </c>
      <c r="AA23" s="1">
        <v>6355.91</v>
      </c>
      <c r="AB23" s="4" t="s">
        <v>87</v>
      </c>
      <c r="AE23">
        <v>8.9999999999999993E-3</v>
      </c>
      <c r="AF23">
        <v>0.26</v>
      </c>
      <c r="AG23">
        <v>-0.09</v>
      </c>
      <c r="AH23">
        <v>8.6330000000000004E-2</v>
      </c>
      <c r="AI23">
        <v>0.12</v>
      </c>
      <c r="AJ23">
        <v>5.0000000000000001E-3</v>
      </c>
      <c r="AK23">
        <v>6.0000000000000001E-3</v>
      </c>
      <c r="AL23">
        <v>6.0000000000000001E-3</v>
      </c>
      <c r="AM23">
        <v>6.0000000000000001E-3</v>
      </c>
      <c r="AN23">
        <v>6.0000000000000001E-3</v>
      </c>
      <c r="AO23">
        <v>6.0000000000000001E-3</v>
      </c>
      <c r="AP23">
        <v>6.0000000000000001E-3</v>
      </c>
      <c r="AQ23">
        <v>6.0000000000000001E-3</v>
      </c>
      <c r="AR23">
        <v>6.0000000000000001E-3</v>
      </c>
      <c r="AS23">
        <v>6.0000000000000001E-3</v>
      </c>
      <c r="AT23">
        <v>6.0000000000000001E-3</v>
      </c>
      <c r="AU23">
        <v>6.0000000000000001E-3</v>
      </c>
      <c r="AV23">
        <v>6.0000000000000001E-3</v>
      </c>
      <c r="AW23">
        <v>-0.06</v>
      </c>
      <c r="AX23">
        <v>-5.91E-2</v>
      </c>
      <c r="AY23">
        <v>-1.4E-3</v>
      </c>
      <c r="AZ23">
        <v>1.6800000000000001E-3</v>
      </c>
      <c r="BA23">
        <v>-1.8440000000000002E-2</v>
      </c>
      <c r="BB23">
        <v>-2.87E-2</v>
      </c>
      <c r="BC23">
        <v>2.33E-3</v>
      </c>
      <c r="BD23">
        <v>4.5999999999999999E-3</v>
      </c>
      <c r="BE23" t="s">
        <v>64</v>
      </c>
      <c r="BF23">
        <v>3.0000000000000001E-3</v>
      </c>
      <c r="BG23">
        <v>3.0000000000000001E-3</v>
      </c>
      <c r="BH23">
        <v>4.0000000000000001E-3</v>
      </c>
      <c r="BI23">
        <v>4.4000000000000003E-3</v>
      </c>
      <c r="BJ23">
        <v>3.7000000000000002E-3</v>
      </c>
      <c r="BK23" t="s">
        <v>88</v>
      </c>
    </row>
    <row r="24" spans="1:63" x14ac:dyDescent="0.25">
      <c r="A24" t="s">
        <v>89</v>
      </c>
      <c r="C24" s="1">
        <v>57961.31</v>
      </c>
      <c r="D24" s="1"/>
      <c r="E24" s="1"/>
      <c r="F24" s="1"/>
      <c r="G24" s="1"/>
      <c r="H24" s="1"/>
      <c r="I24" s="1"/>
      <c r="J24" s="1"/>
      <c r="K24" s="1">
        <v>19.02</v>
      </c>
      <c r="L24" s="1">
        <v>243.15</v>
      </c>
      <c r="M24" s="1">
        <v>1567.33</v>
      </c>
      <c r="N24" s="1">
        <v>2907.55</v>
      </c>
      <c r="O24" s="1">
        <v>3372.99</v>
      </c>
      <c r="P24" s="1">
        <v>5123.2</v>
      </c>
      <c r="Q24" s="1">
        <v>6627.85</v>
      </c>
      <c r="R24" s="1">
        <v>7603.35</v>
      </c>
      <c r="S24" s="1">
        <v>8854.5400000000009</v>
      </c>
      <c r="T24" s="1">
        <v>7704.46</v>
      </c>
      <c r="U24" s="1">
        <v>8180.35</v>
      </c>
      <c r="V24" s="1">
        <v>5757.52</v>
      </c>
      <c r="W24" s="1">
        <v>0</v>
      </c>
      <c r="X24" s="1">
        <v>0</v>
      </c>
      <c r="Y24" s="1"/>
      <c r="Z24" s="1"/>
      <c r="AA24" s="1"/>
      <c r="AB24" t="s">
        <v>89</v>
      </c>
      <c r="AE24">
        <v>-1E-3</v>
      </c>
      <c r="AF24">
        <v>-2.5100000000000001E-2</v>
      </c>
      <c r="AG24">
        <v>-1.566E-2</v>
      </c>
      <c r="AH24">
        <v>-1.7999999999999999E-2</v>
      </c>
      <c r="AI24">
        <v>-2.3980000000000001E-2</v>
      </c>
      <c r="AJ24">
        <v>8.0000000000000004E-4</v>
      </c>
      <c r="AK24" t="s">
        <v>64</v>
      </c>
      <c r="AL24" t="s">
        <v>64</v>
      </c>
      <c r="AM24" t="s">
        <v>64</v>
      </c>
      <c r="AN24" t="s">
        <v>64</v>
      </c>
      <c r="AO24" t="s">
        <v>64</v>
      </c>
      <c r="AP24" t="s">
        <v>64</v>
      </c>
      <c r="AQ24" t="s">
        <v>64</v>
      </c>
      <c r="AR24" t="s">
        <v>64</v>
      </c>
      <c r="AS24" t="s">
        <v>64</v>
      </c>
      <c r="AT24" t="s">
        <v>64</v>
      </c>
      <c r="AU24" t="s">
        <v>64</v>
      </c>
      <c r="AV24" t="s">
        <v>64</v>
      </c>
      <c r="AW24" t="s">
        <v>64</v>
      </c>
      <c r="AX24" t="s">
        <v>64</v>
      </c>
      <c r="AY24" t="s">
        <v>64</v>
      </c>
      <c r="AZ24" t="s">
        <v>64</v>
      </c>
      <c r="BA24" t="s">
        <v>64</v>
      </c>
      <c r="BB24" t="s">
        <v>64</v>
      </c>
      <c r="BC24" t="s">
        <v>64</v>
      </c>
      <c r="BD24" t="s">
        <v>64</v>
      </c>
      <c r="BE24" t="s">
        <v>64</v>
      </c>
      <c r="BF24" t="s">
        <v>64</v>
      </c>
      <c r="BG24" t="s">
        <v>64</v>
      </c>
      <c r="BH24" t="s">
        <v>64</v>
      </c>
      <c r="BI24" t="s">
        <v>64</v>
      </c>
      <c r="BJ24" t="s">
        <v>64</v>
      </c>
    </row>
    <row r="25" spans="1:63" x14ac:dyDescent="0.25">
      <c r="A25" t="s">
        <v>90</v>
      </c>
      <c r="C25" s="1">
        <v>56393.440000000002</v>
      </c>
      <c r="D25" s="1">
        <v>4609.8500000000004</v>
      </c>
      <c r="E25" s="1">
        <v>4522.05</v>
      </c>
      <c r="F25" s="1">
        <v>4308.79</v>
      </c>
      <c r="G25" s="1">
        <v>3904.78</v>
      </c>
      <c r="H25" s="1">
        <v>3499.42</v>
      </c>
      <c r="I25" s="1">
        <v>3088.33</v>
      </c>
      <c r="J25" s="1">
        <v>2084.5500000000002</v>
      </c>
      <c r="K25" s="1">
        <v>1380.77</v>
      </c>
      <c r="L25" s="1">
        <v>580.35</v>
      </c>
      <c r="M25" s="1">
        <v>446.24</v>
      </c>
      <c r="N25" s="1">
        <v>699.9</v>
      </c>
      <c r="O25" s="1">
        <v>787.08</v>
      </c>
      <c r="P25" s="1">
        <v>835.66</v>
      </c>
      <c r="Q25" s="1">
        <v>827.62</v>
      </c>
      <c r="R25" s="1">
        <v>821.14</v>
      </c>
      <c r="S25" s="1">
        <v>1045.78</v>
      </c>
      <c r="T25" s="1">
        <v>1090.3800000000001</v>
      </c>
      <c r="U25" s="1">
        <v>1627.47</v>
      </c>
      <c r="V25" s="1">
        <v>1704.78</v>
      </c>
      <c r="W25" s="1">
        <v>2261.65</v>
      </c>
      <c r="X25" s="1">
        <v>3222.73</v>
      </c>
      <c r="Y25" s="1">
        <v>4110.84</v>
      </c>
      <c r="Z25" s="1">
        <v>4426.32</v>
      </c>
      <c r="AA25" s="1">
        <v>4506.96</v>
      </c>
      <c r="AB25" t="s">
        <v>90</v>
      </c>
      <c r="AE25">
        <v>7.0000000000000007E-2</v>
      </c>
      <c r="AF25">
        <v>-0.02</v>
      </c>
      <c r="AG25">
        <v>-0.02</v>
      </c>
      <c r="AH25">
        <v>0.02</v>
      </c>
      <c r="AI25">
        <v>0.02</v>
      </c>
      <c r="AJ25">
        <v>-0.02</v>
      </c>
      <c r="AK25">
        <v>0.21329000000000001</v>
      </c>
      <c r="AL25">
        <v>0.20412</v>
      </c>
      <c r="AM25">
        <v>0.20899999999999999</v>
      </c>
      <c r="AN25">
        <v>1.9630000000000002E-2</v>
      </c>
      <c r="AO25">
        <v>0.20899999999999999</v>
      </c>
      <c r="AP25">
        <v>0.20899999999999999</v>
      </c>
      <c r="AQ25">
        <v>0.11749999999999999</v>
      </c>
      <c r="AR25">
        <v>0.1981</v>
      </c>
      <c r="AS25">
        <v>0.21199999999999999</v>
      </c>
      <c r="AT25">
        <v>0.21390000000000001</v>
      </c>
      <c r="AU25">
        <v>0.20899999999999999</v>
      </c>
      <c r="AV25">
        <v>0.21490000000000001</v>
      </c>
      <c r="AW25">
        <v>-2E-3</v>
      </c>
      <c r="AX25">
        <v>-2E-3</v>
      </c>
      <c r="AY25">
        <v>-1.2999999999999999E-2</v>
      </c>
      <c r="AZ25">
        <v>-1E-3</v>
      </c>
      <c r="BA25">
        <v>-2E-3</v>
      </c>
      <c r="BB25">
        <v>-4.0000000000000001E-3</v>
      </c>
      <c r="BC25">
        <v>-2.0500000000000001E-2</v>
      </c>
      <c r="BD25">
        <v>-5.6000000000000001E-2</v>
      </c>
      <c r="BE25">
        <v>-3.7999999999999999E-2</v>
      </c>
      <c r="BF25">
        <v>-4.2200000000000001E-2</v>
      </c>
      <c r="BG25">
        <v>-3.8600000000000002E-2</v>
      </c>
      <c r="BH25">
        <v>-4.6440000000000002E-2</v>
      </c>
      <c r="BI25">
        <v>-5.16E-2</v>
      </c>
      <c r="BJ25">
        <v>-3.7999999999999999E-2</v>
      </c>
    </row>
    <row r="26" spans="1:63" x14ac:dyDescent="0.25">
      <c r="A26" t="s">
        <v>91</v>
      </c>
      <c r="C26" s="1">
        <v>54270.9</v>
      </c>
      <c r="D26" s="1">
        <v>7186.95</v>
      </c>
      <c r="E26" s="1">
        <v>7911.17</v>
      </c>
      <c r="F26" s="1">
        <v>6813.76</v>
      </c>
      <c r="G26" s="1">
        <v>8124.32</v>
      </c>
      <c r="H26" s="1">
        <v>7162.87</v>
      </c>
      <c r="I26" s="1">
        <v>3676.98</v>
      </c>
      <c r="J26" s="1">
        <v>4253.62</v>
      </c>
      <c r="K26" s="1">
        <v>2049.7199999999998</v>
      </c>
      <c r="L26" s="1">
        <v>231.58</v>
      </c>
      <c r="M26" s="1">
        <v>28.21</v>
      </c>
      <c r="N26" s="1">
        <v>0</v>
      </c>
      <c r="O26" s="1"/>
      <c r="P26" s="1"/>
      <c r="Q26" s="1"/>
      <c r="R26" s="1"/>
      <c r="S26" s="1"/>
      <c r="T26" s="1"/>
      <c r="U26" s="1"/>
      <c r="V26" s="1">
        <v>0</v>
      </c>
      <c r="W26" s="1">
        <v>0</v>
      </c>
      <c r="X26" s="1">
        <v>189.45</v>
      </c>
      <c r="Y26" s="1">
        <v>793.09</v>
      </c>
      <c r="Z26" s="1">
        <v>2653.19</v>
      </c>
      <c r="AA26" s="1">
        <v>3195.99</v>
      </c>
      <c r="AB26" s="4" t="s">
        <v>91</v>
      </c>
      <c r="AE26">
        <v>-3.0000000000000001E-3</v>
      </c>
      <c r="AF26">
        <v>-2.0000000000000001E-4</v>
      </c>
      <c r="AG26">
        <v>-2.9999999999999997E-4</v>
      </c>
      <c r="AH26">
        <v>-5.9999999999999995E-4</v>
      </c>
      <c r="AI26">
        <v>-4.0000000000000002E-4</v>
      </c>
      <c r="AJ26">
        <v>-1E-3</v>
      </c>
      <c r="AK26">
        <v>-0.44871</v>
      </c>
      <c r="AL26">
        <v>7.0999999999999994E-2</v>
      </c>
      <c r="AM26">
        <v>7.1999999999999995E-2</v>
      </c>
      <c r="AN26">
        <v>5.3999999999999999E-2</v>
      </c>
      <c r="AO26">
        <v>7.2999999999999995E-2</v>
      </c>
      <c r="AP26">
        <v>7.5999999999999998E-2</v>
      </c>
      <c r="AQ26">
        <v>-1.6299999999999999E-2</v>
      </c>
      <c r="AR26">
        <v>4.9770000000000002E-2</v>
      </c>
      <c r="AS26">
        <v>7.1999999999999995E-2</v>
      </c>
      <c r="AT26">
        <v>8.2799999999999999E-2</v>
      </c>
      <c r="AU26">
        <v>7.3599999999999999E-2</v>
      </c>
      <c r="AV26">
        <v>7.8600000000000003E-2</v>
      </c>
      <c r="AW26">
        <v>-4.0000000000000002E-4</v>
      </c>
      <c r="AX26">
        <v>-4.0000000000000002E-4</v>
      </c>
      <c r="AY26">
        <v>-4.0000000000000002E-4</v>
      </c>
      <c r="AZ26">
        <v>-4.0000000000000002E-4</v>
      </c>
      <c r="BA26">
        <v>-4.0000000000000002E-4</v>
      </c>
      <c r="BB26">
        <v>-4.0000000000000002E-4</v>
      </c>
      <c r="BC26">
        <v>-3.0000000000000001E-3</v>
      </c>
      <c r="BD26">
        <v>-6.0000000000000001E-3</v>
      </c>
      <c r="BE26">
        <v>-5.7999999999999996E-3</v>
      </c>
      <c r="BF26">
        <v>-6.1500000000000001E-3</v>
      </c>
      <c r="BG26">
        <v>-5.7999999999999996E-3</v>
      </c>
      <c r="BH26">
        <v>-6.4000000000000003E-3</v>
      </c>
      <c r="BI26">
        <v>-7.1999999999999998E-3</v>
      </c>
      <c r="BJ26">
        <v>-5.7999999999999996E-3</v>
      </c>
      <c r="BK26" t="s">
        <v>92</v>
      </c>
    </row>
    <row r="27" spans="1:63" x14ac:dyDescent="0.25">
      <c r="A27" t="s">
        <v>93</v>
      </c>
      <c r="C27" s="1">
        <v>49238.51</v>
      </c>
      <c r="D27" s="1">
        <v>0</v>
      </c>
      <c r="E27" s="1">
        <v>0</v>
      </c>
      <c r="F27" s="1">
        <v>0</v>
      </c>
      <c r="G27" s="1"/>
      <c r="H27" s="1"/>
      <c r="I27" s="1"/>
      <c r="J27" s="1">
        <v>105.29</v>
      </c>
      <c r="K27" s="1">
        <v>407.76</v>
      </c>
      <c r="L27" s="1">
        <v>596.71</v>
      </c>
      <c r="M27" s="1">
        <v>1520.39</v>
      </c>
      <c r="N27" s="1">
        <v>2233.12</v>
      </c>
      <c r="O27" s="1">
        <v>3432.43</v>
      </c>
      <c r="P27" s="1">
        <v>4606.3900000000003</v>
      </c>
      <c r="Q27" s="1">
        <v>5094.25</v>
      </c>
      <c r="R27" s="1">
        <v>5834.43</v>
      </c>
      <c r="S27" s="1">
        <v>5859.12</v>
      </c>
      <c r="T27" s="1">
        <v>6010.54</v>
      </c>
      <c r="U27" s="1">
        <v>6255.62</v>
      </c>
      <c r="V27" s="1">
        <v>4731.67</v>
      </c>
      <c r="W27" s="1">
        <v>2377.63</v>
      </c>
      <c r="X27" s="1">
        <v>173.16</v>
      </c>
      <c r="Y27" s="1">
        <v>0</v>
      </c>
      <c r="Z27" s="1">
        <v>0</v>
      </c>
      <c r="AA27" s="1">
        <v>0</v>
      </c>
      <c r="AB27" s="4" t="s">
        <v>93</v>
      </c>
      <c r="AE27">
        <v>0.29986000000000002</v>
      </c>
      <c r="AF27">
        <v>1.123E-2</v>
      </c>
      <c r="AG27">
        <v>6.8999999999999999E-3</v>
      </c>
      <c r="AH27">
        <v>3.5490000000000001E-2</v>
      </c>
      <c r="AI27">
        <v>2.3140000000000001E-2</v>
      </c>
      <c r="AJ27">
        <v>1.37E-2</v>
      </c>
      <c r="AK27">
        <v>-2.5559999999999999E-2</v>
      </c>
      <c r="AL27">
        <v>-3.2300000000000002E-2</v>
      </c>
      <c r="AM27">
        <v>-3.1440000000000003E-2</v>
      </c>
      <c r="AN27">
        <v>-3.7100000000000001E-2</v>
      </c>
      <c r="AO27">
        <v>-3.1600000000000003E-2</v>
      </c>
      <c r="AP27">
        <v>-3.1600000000000003E-2</v>
      </c>
      <c r="AQ27">
        <v>-1.7139999999999999E-2</v>
      </c>
      <c r="AR27">
        <v>-3.78E-2</v>
      </c>
      <c r="AS27">
        <v>-2.9499999999999998E-2</v>
      </c>
      <c r="AT27">
        <v>-2.9960000000000001E-2</v>
      </c>
      <c r="AU27">
        <v>-3.1E-2</v>
      </c>
      <c r="AV27">
        <v>-2.9000000000000001E-2</v>
      </c>
      <c r="AW27">
        <v>4.8999999999999998E-3</v>
      </c>
      <c r="AX27">
        <v>4.7999999999999996E-3</v>
      </c>
      <c r="AY27">
        <v>3.0000000000000001E-3</v>
      </c>
      <c r="AZ27">
        <v>5.0000000000000001E-3</v>
      </c>
      <c r="BA27">
        <v>4.0000000000000001E-3</v>
      </c>
      <c r="BB27">
        <v>4.0000000000000001E-3</v>
      </c>
      <c r="BC27">
        <v>2.5000000000000001E-3</v>
      </c>
      <c r="BD27">
        <v>-5.0000000000000001E-4</v>
      </c>
      <c r="BE27">
        <v>4.0000000000000002E-4</v>
      </c>
      <c r="BF27" t="s">
        <v>64</v>
      </c>
      <c r="BG27">
        <v>4.0000000000000002E-4</v>
      </c>
      <c r="BH27">
        <v>-4.0000000000000002E-4</v>
      </c>
      <c r="BI27">
        <v>-1E-3</v>
      </c>
      <c r="BJ27">
        <v>4.0000000000000002E-4</v>
      </c>
      <c r="BK27" t="s">
        <v>94</v>
      </c>
    </row>
    <row r="28" spans="1:63" x14ac:dyDescent="0.25">
      <c r="A28" t="s">
        <v>95</v>
      </c>
      <c r="C28" s="1">
        <v>42121</v>
      </c>
      <c r="D28" s="1">
        <v>2347.35</v>
      </c>
      <c r="E28" s="1">
        <v>2481.1999999999998</v>
      </c>
      <c r="F28" s="1">
        <v>2411.8200000000002</v>
      </c>
      <c r="G28" s="1">
        <v>2213.21</v>
      </c>
      <c r="H28" s="1">
        <v>1980.95</v>
      </c>
      <c r="I28" s="1">
        <v>1981.37</v>
      </c>
      <c r="J28" s="1">
        <v>1947.01</v>
      </c>
      <c r="K28" s="1">
        <v>2348.6799999999998</v>
      </c>
      <c r="L28" s="1">
        <v>1511.67</v>
      </c>
      <c r="M28" s="1">
        <v>1248.43</v>
      </c>
      <c r="N28" s="1">
        <v>914.67</v>
      </c>
      <c r="O28" s="1">
        <v>717.31</v>
      </c>
      <c r="P28" s="1">
        <v>672.93</v>
      </c>
      <c r="Q28" s="1">
        <v>710.72</v>
      </c>
      <c r="R28" s="1">
        <v>569.05999999999995</v>
      </c>
      <c r="S28" s="1">
        <v>446.46</v>
      </c>
      <c r="T28" s="1">
        <v>759.77</v>
      </c>
      <c r="U28" s="1">
        <v>1327.29</v>
      </c>
      <c r="V28" s="1">
        <v>2327.88</v>
      </c>
      <c r="W28" s="1">
        <v>2284.31</v>
      </c>
      <c r="X28" s="1">
        <v>2469.9</v>
      </c>
      <c r="Y28" s="1">
        <v>3094.09</v>
      </c>
      <c r="Z28" s="1">
        <v>2879.17</v>
      </c>
      <c r="AA28" s="1">
        <v>2475.75</v>
      </c>
      <c r="AB28" t="s">
        <v>95</v>
      </c>
      <c r="AE28">
        <v>-0.05</v>
      </c>
      <c r="AF28">
        <v>1.4E-2</v>
      </c>
      <c r="AG28">
        <v>1.7500000000000002E-2</v>
      </c>
      <c r="AH28">
        <v>-2E-3</v>
      </c>
      <c r="AI28">
        <v>6.0000000000000001E-3</v>
      </c>
      <c r="AJ28">
        <v>-2.8000000000000001E-2</v>
      </c>
      <c r="AK28">
        <v>-4.8000000000000001E-2</v>
      </c>
      <c r="AL28">
        <v>-4.8000000000000001E-2</v>
      </c>
      <c r="AM28">
        <v>-4.8000000000000001E-2</v>
      </c>
      <c r="AN28">
        <v>-4.8000000000000001E-2</v>
      </c>
      <c r="AO28">
        <v>-4.8000000000000001E-2</v>
      </c>
      <c r="AP28">
        <v>-4.8000000000000001E-2</v>
      </c>
      <c r="AQ28">
        <v>-4.8000000000000001E-2</v>
      </c>
      <c r="AR28">
        <v>-4.8000000000000001E-2</v>
      </c>
      <c r="AS28">
        <v>-4.8000000000000001E-2</v>
      </c>
      <c r="AT28">
        <v>-4.8000000000000001E-2</v>
      </c>
      <c r="AU28">
        <v>-4.8000000000000001E-2</v>
      </c>
      <c r="AV28">
        <v>-4.8000000000000001E-2</v>
      </c>
      <c r="AW28">
        <v>1.89E-2</v>
      </c>
      <c r="AX28">
        <v>1.8800000000000001E-2</v>
      </c>
      <c r="AY28">
        <v>0.02</v>
      </c>
      <c r="AZ28">
        <v>1.9E-2</v>
      </c>
      <c r="BA28">
        <v>1.9E-2</v>
      </c>
      <c r="BB28">
        <v>1.9E-2</v>
      </c>
      <c r="BC28">
        <v>1.9E-2</v>
      </c>
      <c r="BD28">
        <v>-0.04</v>
      </c>
      <c r="BE28">
        <v>1E-3</v>
      </c>
      <c r="BF28">
        <v>-0.01</v>
      </c>
      <c r="BG28">
        <v>1E-3</v>
      </c>
      <c r="BH28">
        <v>-1.9E-2</v>
      </c>
      <c r="BI28">
        <v>-2.8500000000000001E-2</v>
      </c>
      <c r="BJ28">
        <v>1E-4</v>
      </c>
    </row>
    <row r="29" spans="1:63" x14ac:dyDescent="0.25">
      <c r="A29" t="s">
        <v>96</v>
      </c>
      <c r="C29" s="1">
        <v>39682.54</v>
      </c>
      <c r="D29" s="1">
        <v>941.77</v>
      </c>
      <c r="E29" s="1">
        <v>2144.9</v>
      </c>
      <c r="F29" s="1">
        <v>2161.0300000000002</v>
      </c>
      <c r="G29" s="1">
        <v>2683.65</v>
      </c>
      <c r="H29" s="1">
        <v>4065.23</v>
      </c>
      <c r="I29" s="1">
        <v>3743.47</v>
      </c>
      <c r="J29" s="1">
        <v>7401.42</v>
      </c>
      <c r="K29" s="1">
        <v>5101.41</v>
      </c>
      <c r="L29" s="1">
        <v>971.47</v>
      </c>
      <c r="M29" s="1">
        <v>109.52</v>
      </c>
      <c r="N29" s="1">
        <v>89.78</v>
      </c>
      <c r="O29" s="1">
        <v>5.07</v>
      </c>
      <c r="P29" s="1"/>
      <c r="Q29" s="1"/>
      <c r="R29" s="1">
        <v>0</v>
      </c>
      <c r="S29" s="1"/>
      <c r="T29" s="1">
        <v>0</v>
      </c>
      <c r="U29" s="1">
        <v>303.31</v>
      </c>
      <c r="V29" s="1">
        <v>1275.1400000000001</v>
      </c>
      <c r="W29" s="1">
        <v>1452.34</v>
      </c>
      <c r="X29" s="1">
        <v>2591.33</v>
      </c>
      <c r="Y29" s="1">
        <v>2642.97</v>
      </c>
      <c r="Z29" s="1">
        <v>1197.48</v>
      </c>
      <c r="AA29" s="1">
        <v>801.25</v>
      </c>
      <c r="AB29" t="s">
        <v>96</v>
      </c>
      <c r="AE29">
        <v>2.1000000000000001E-2</v>
      </c>
      <c r="AF29">
        <v>-5.5E-2</v>
      </c>
      <c r="AG29">
        <v>-0.01</v>
      </c>
      <c r="AH29">
        <v>0.126</v>
      </c>
      <c r="AI29">
        <v>0.19</v>
      </c>
      <c r="AJ29">
        <v>1E-3</v>
      </c>
      <c r="AK29">
        <v>5.0000000000000001E-3</v>
      </c>
      <c r="AL29">
        <v>5.0000000000000001E-3</v>
      </c>
      <c r="AM29">
        <v>5.0000000000000001E-3</v>
      </c>
      <c r="AN29">
        <v>5.0000000000000001E-3</v>
      </c>
      <c r="AO29">
        <v>5.0000000000000001E-3</v>
      </c>
      <c r="AP29">
        <v>5.0000000000000001E-3</v>
      </c>
      <c r="AQ29">
        <v>5.0000000000000001E-3</v>
      </c>
      <c r="AR29">
        <v>5.0000000000000001E-3</v>
      </c>
      <c r="AS29">
        <v>5.0000000000000001E-3</v>
      </c>
      <c r="AT29">
        <v>5.0000000000000001E-3</v>
      </c>
      <c r="AU29">
        <v>5.0000000000000001E-3</v>
      </c>
      <c r="AV29">
        <v>5.0000000000000001E-3</v>
      </c>
      <c r="AW29">
        <v>-7.0000000000000001E-3</v>
      </c>
      <c r="AX29">
        <v>-6.0000000000000001E-3</v>
      </c>
      <c r="AY29">
        <v>-3.0000000000000001E-3</v>
      </c>
      <c r="AZ29">
        <v>-7.0000000000000001E-3</v>
      </c>
      <c r="BA29">
        <v>-7.0000000000000001E-3</v>
      </c>
      <c r="BB29">
        <v>-6.0000000000000001E-3</v>
      </c>
      <c r="BC29">
        <v>-1E-3</v>
      </c>
      <c r="BD29">
        <v>2E-3</v>
      </c>
      <c r="BE29">
        <v>4.0000000000000002E-4</v>
      </c>
      <c r="BF29">
        <v>8.9999999999999998E-4</v>
      </c>
      <c r="BG29">
        <v>4.0000000000000002E-4</v>
      </c>
      <c r="BH29">
        <v>1E-3</v>
      </c>
      <c r="BI29">
        <v>1E-3</v>
      </c>
      <c r="BJ29">
        <v>4.0000000000000002E-4</v>
      </c>
    </row>
    <row r="30" spans="1:63" x14ac:dyDescent="0.25">
      <c r="A30" t="s">
        <v>97</v>
      </c>
      <c r="C30" s="1">
        <v>37951.019999999997</v>
      </c>
      <c r="D30" s="1">
        <v>1612.49</v>
      </c>
      <c r="E30" s="1">
        <v>1294.51</v>
      </c>
      <c r="F30" s="1">
        <v>880.24</v>
      </c>
      <c r="G30" s="1">
        <v>569.87</v>
      </c>
      <c r="H30" s="1">
        <v>429.57</v>
      </c>
      <c r="I30" s="1">
        <v>453.71</v>
      </c>
      <c r="J30" s="1">
        <v>562.4</v>
      </c>
      <c r="K30" s="1">
        <v>596.74</v>
      </c>
      <c r="L30" s="1">
        <v>584.41</v>
      </c>
      <c r="M30" s="1">
        <v>659.64</v>
      </c>
      <c r="N30" s="1">
        <v>921.51</v>
      </c>
      <c r="O30" s="1">
        <v>759.11</v>
      </c>
      <c r="P30" s="1">
        <v>742.65</v>
      </c>
      <c r="Q30" s="1">
        <v>932.14</v>
      </c>
      <c r="R30" s="1">
        <v>1077.8800000000001</v>
      </c>
      <c r="S30" s="1">
        <v>1433.85</v>
      </c>
      <c r="T30" s="1">
        <v>2046.02</v>
      </c>
      <c r="U30" s="1">
        <v>3113.17</v>
      </c>
      <c r="V30" s="1">
        <v>3340.8</v>
      </c>
      <c r="W30" s="1">
        <v>3034.76</v>
      </c>
      <c r="X30" s="1">
        <v>3335.27</v>
      </c>
      <c r="Y30" s="1">
        <v>4415.43</v>
      </c>
      <c r="Z30" s="1">
        <v>2989.97</v>
      </c>
      <c r="AA30" s="1">
        <v>2164.88</v>
      </c>
      <c r="AB30" t="s">
        <v>97</v>
      </c>
      <c r="AE30">
        <v>5.0000000000000001E-3</v>
      </c>
      <c r="AF30">
        <v>0.21815999999999999</v>
      </c>
      <c r="AG30">
        <v>0.32385999999999998</v>
      </c>
      <c r="AH30">
        <v>7.0000000000000007E-2</v>
      </c>
      <c r="AI30">
        <v>7.0000000000000007E-2</v>
      </c>
      <c r="AJ30">
        <v>2E-3</v>
      </c>
      <c r="AK30">
        <v>2E-3</v>
      </c>
      <c r="AL30">
        <v>2E-3</v>
      </c>
      <c r="AM30">
        <v>2E-3</v>
      </c>
      <c r="AN30">
        <v>2E-3</v>
      </c>
      <c r="AO30">
        <v>2E-3</v>
      </c>
      <c r="AP30">
        <v>2E-3</v>
      </c>
      <c r="AQ30">
        <v>2E-3</v>
      </c>
      <c r="AR30">
        <v>2E-3</v>
      </c>
      <c r="AS30">
        <v>2E-3</v>
      </c>
      <c r="AT30">
        <v>2E-3</v>
      </c>
      <c r="AU30">
        <v>2E-3</v>
      </c>
      <c r="AV30">
        <v>2E-3</v>
      </c>
      <c r="AW30">
        <v>-7.0000000000000007E-2</v>
      </c>
      <c r="AX30">
        <v>-0.10299999999999999</v>
      </c>
      <c r="AY30">
        <v>-6.0000000000000001E-3</v>
      </c>
      <c r="AZ30">
        <v>1.7999999999999999E-2</v>
      </c>
      <c r="BA30">
        <v>-1.4E-2</v>
      </c>
      <c r="BB30">
        <v>-3.8899999999999997E-2</v>
      </c>
      <c r="BC30">
        <v>-2E-3</v>
      </c>
      <c r="BD30">
        <v>1E-3</v>
      </c>
      <c r="BE30">
        <v>1E-4</v>
      </c>
      <c r="BF30">
        <v>4.0000000000000002E-4</v>
      </c>
      <c r="BG30">
        <v>1E-4</v>
      </c>
      <c r="BH30">
        <v>8.0000000000000004E-4</v>
      </c>
      <c r="BI30">
        <v>1E-3</v>
      </c>
      <c r="BJ30">
        <v>1E-4</v>
      </c>
    </row>
    <row r="31" spans="1:63" x14ac:dyDescent="0.25">
      <c r="A31" t="s">
        <v>98</v>
      </c>
      <c r="C31" s="1">
        <v>36478.42</v>
      </c>
      <c r="D31" s="1">
        <v>140.02000000000001</v>
      </c>
      <c r="E31" s="1">
        <v>254.81</v>
      </c>
      <c r="F31" s="1">
        <v>437.9</v>
      </c>
      <c r="G31" s="1">
        <v>820.02</v>
      </c>
      <c r="H31" s="1">
        <v>178.09</v>
      </c>
      <c r="I31" s="1">
        <v>576.98</v>
      </c>
      <c r="J31" s="1">
        <v>3076.23</v>
      </c>
      <c r="K31" s="1">
        <v>3287.75</v>
      </c>
      <c r="L31" s="1">
        <v>4134.8999999999996</v>
      </c>
      <c r="M31" s="1">
        <v>2544.02</v>
      </c>
      <c r="N31" s="1">
        <v>2006.54</v>
      </c>
      <c r="O31" s="1">
        <v>1191.3800000000001</v>
      </c>
      <c r="P31" s="1">
        <v>1264.17</v>
      </c>
      <c r="Q31" s="1">
        <v>1202.82</v>
      </c>
      <c r="R31" s="1">
        <v>1195.1099999999999</v>
      </c>
      <c r="S31" s="1">
        <v>728.08</v>
      </c>
      <c r="T31" s="1">
        <v>652.74</v>
      </c>
      <c r="U31" s="1">
        <v>1261.83</v>
      </c>
      <c r="V31" s="1">
        <v>1913.47</v>
      </c>
      <c r="W31" s="1">
        <v>3155.84</v>
      </c>
      <c r="X31" s="1">
        <v>2162.21</v>
      </c>
      <c r="Y31" s="1">
        <v>2386.13</v>
      </c>
      <c r="Z31" s="1">
        <v>1250.8399999999999</v>
      </c>
      <c r="AA31" s="1">
        <v>656.54</v>
      </c>
      <c r="AB31" t="s">
        <v>98</v>
      </c>
      <c r="AE31">
        <v>-3.0000000000000001E-3</v>
      </c>
      <c r="AF31">
        <v>-6.9999999999999999E-4</v>
      </c>
      <c r="AG31">
        <v>-4.0000000000000002E-4</v>
      </c>
      <c r="AH31">
        <v>-1E-3</v>
      </c>
      <c r="AI31">
        <v>-1E-3</v>
      </c>
      <c r="AJ31">
        <v>-1E-3</v>
      </c>
      <c r="AK31">
        <v>-3.0000000000000001E-3</v>
      </c>
      <c r="AL31">
        <v>-3.0000000000000001E-3</v>
      </c>
      <c r="AM31">
        <v>-3.0000000000000001E-3</v>
      </c>
      <c r="AN31">
        <v>-3.0000000000000001E-3</v>
      </c>
      <c r="AO31">
        <v>-3.0000000000000001E-3</v>
      </c>
      <c r="AP31">
        <v>-3.0000000000000001E-3</v>
      </c>
      <c r="AQ31">
        <v>-3.0000000000000001E-3</v>
      </c>
      <c r="AR31">
        <v>-3.0000000000000001E-3</v>
      </c>
      <c r="AS31">
        <v>-3.0000000000000001E-3</v>
      </c>
      <c r="AT31">
        <v>-3.0000000000000001E-3</v>
      </c>
      <c r="AU31">
        <v>-3.0000000000000001E-3</v>
      </c>
      <c r="AV31">
        <v>-3.0000000000000001E-3</v>
      </c>
      <c r="AW31">
        <v>-3.0000000000000001E-3</v>
      </c>
      <c r="AX31">
        <v>-3.0000000000000001E-3</v>
      </c>
      <c r="AY31">
        <v>1E-4</v>
      </c>
      <c r="AZ31">
        <v>-2.9999999999999997E-4</v>
      </c>
      <c r="BA31">
        <v>-2.0000000000000001E-4</v>
      </c>
      <c r="BB31">
        <v>-2.0000000000000001E-4</v>
      </c>
      <c r="BC31">
        <v>5.0000000000000001E-4</v>
      </c>
      <c r="BD31">
        <v>-3.0000000000000001E-3</v>
      </c>
      <c r="BE31">
        <v>2E-3</v>
      </c>
      <c r="BF31">
        <v>3.0000000000000001E-3</v>
      </c>
      <c r="BG31">
        <v>2E-3</v>
      </c>
      <c r="BH31">
        <v>0.01</v>
      </c>
      <c r="BI31">
        <v>-5.1499999999999997E-2</v>
      </c>
      <c r="BJ31">
        <v>-2E-3</v>
      </c>
    </row>
    <row r="32" spans="1:63" x14ac:dyDescent="0.25">
      <c r="A32" t="s">
        <v>99</v>
      </c>
      <c r="C32" s="1">
        <v>35242.22</v>
      </c>
      <c r="D32" s="1">
        <v>2544</v>
      </c>
      <c r="E32" s="1">
        <v>1717.76</v>
      </c>
      <c r="F32" s="1">
        <v>2461.81</v>
      </c>
      <c r="G32" s="1">
        <v>4345.28</v>
      </c>
      <c r="H32" s="1">
        <v>5494.96</v>
      </c>
      <c r="I32" s="1">
        <v>5898.96</v>
      </c>
      <c r="J32" s="1">
        <v>2661.22</v>
      </c>
      <c r="K32" s="1">
        <v>182.43</v>
      </c>
      <c r="L32" s="1">
        <v>0</v>
      </c>
      <c r="M32" s="1">
        <v>0</v>
      </c>
      <c r="N32" s="1">
        <v>0</v>
      </c>
      <c r="O32" s="1"/>
      <c r="P32" s="1"/>
      <c r="Q32" s="1">
        <v>0</v>
      </c>
      <c r="R32" s="1">
        <v>145.49</v>
      </c>
      <c r="S32" s="1">
        <v>1172.8699999999999</v>
      </c>
      <c r="T32" s="1">
        <v>1416.94</v>
      </c>
      <c r="U32" s="1">
        <v>685.9</v>
      </c>
      <c r="V32" s="1">
        <v>998.71</v>
      </c>
      <c r="W32" s="1">
        <v>727.69</v>
      </c>
      <c r="X32" s="1">
        <v>225.01</v>
      </c>
      <c r="Y32" s="1">
        <v>432.85</v>
      </c>
      <c r="Z32" s="1">
        <v>1771.32</v>
      </c>
      <c r="AA32" s="1">
        <v>2359.02</v>
      </c>
      <c r="AB32" t="s">
        <v>99</v>
      </c>
      <c r="AE32">
        <v>5.0000000000000001E-3</v>
      </c>
      <c r="AF32">
        <v>-5.0000000000000001E-4</v>
      </c>
      <c r="AG32">
        <v>-8.0000000000000004E-4</v>
      </c>
      <c r="AH32">
        <v>8.0000000000000004E-4</v>
      </c>
      <c r="AI32">
        <v>1E-4</v>
      </c>
      <c r="AJ32">
        <v>1E-3</v>
      </c>
      <c r="AK32">
        <v>4.0000000000000001E-3</v>
      </c>
      <c r="AL32">
        <v>4.0000000000000001E-3</v>
      </c>
      <c r="AM32">
        <v>4.0000000000000001E-3</v>
      </c>
      <c r="AN32">
        <v>4.0000000000000001E-3</v>
      </c>
      <c r="AO32">
        <v>4.0000000000000001E-3</v>
      </c>
      <c r="AP32">
        <v>4.0000000000000001E-3</v>
      </c>
      <c r="AQ32">
        <v>4.0000000000000001E-3</v>
      </c>
      <c r="AR32">
        <v>4.0000000000000001E-3</v>
      </c>
      <c r="AS32">
        <v>4.0000000000000001E-3</v>
      </c>
      <c r="AT32">
        <v>4.0000000000000001E-3</v>
      </c>
      <c r="AU32">
        <v>4.0000000000000001E-3</v>
      </c>
      <c r="AV32">
        <v>4.0000000000000001E-3</v>
      </c>
      <c r="AW32">
        <v>-8.9999999999999993E-3</v>
      </c>
      <c r="AX32">
        <v>-8.9999999999999993E-3</v>
      </c>
      <c r="AY32">
        <v>-8.9999999999999993E-3</v>
      </c>
      <c r="AZ32">
        <v>-8.9999999999999993E-3</v>
      </c>
      <c r="BA32">
        <v>-8.9999999999999993E-3</v>
      </c>
      <c r="BB32">
        <v>-8.9999999999999993E-3</v>
      </c>
      <c r="BC32">
        <v>-1E-3</v>
      </c>
      <c r="BD32">
        <v>0.04</v>
      </c>
      <c r="BE32">
        <v>-6.9999999999999999E-4</v>
      </c>
      <c r="BF32">
        <v>-5.0000000000000001E-4</v>
      </c>
      <c r="BG32">
        <v>-6.9999999999999999E-4</v>
      </c>
      <c r="BH32">
        <v>-1E-3</v>
      </c>
      <c r="BI32">
        <v>6.0000000000000001E-3</v>
      </c>
      <c r="BJ32">
        <v>-8.0000000000000004E-4</v>
      </c>
    </row>
    <row r="33" spans="1:63" x14ac:dyDescent="0.25">
      <c r="A33" t="s">
        <v>100</v>
      </c>
      <c r="C33" s="1">
        <v>33834.400000000001</v>
      </c>
      <c r="D33" s="1">
        <v>1.02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/>
      <c r="K33" s="1"/>
      <c r="L33" s="1">
        <v>93.47</v>
      </c>
      <c r="M33" s="1">
        <v>583.51</v>
      </c>
      <c r="N33" s="1">
        <v>1310.42</v>
      </c>
      <c r="O33" s="1">
        <v>2267.37</v>
      </c>
      <c r="P33" s="1">
        <v>4378.74</v>
      </c>
      <c r="Q33" s="1">
        <v>4131.0600000000004</v>
      </c>
      <c r="R33" s="1">
        <v>4376.04</v>
      </c>
      <c r="S33" s="1">
        <v>5652.8</v>
      </c>
      <c r="T33" s="1">
        <v>6104.37</v>
      </c>
      <c r="U33" s="1">
        <v>4051.3</v>
      </c>
      <c r="V33" s="1">
        <v>867.58</v>
      </c>
      <c r="W33" s="1">
        <v>16.72</v>
      </c>
      <c r="X33" s="1">
        <v>0</v>
      </c>
      <c r="Y33" s="1">
        <v>0</v>
      </c>
      <c r="Z33" s="1">
        <v>0</v>
      </c>
      <c r="AA33" s="1"/>
      <c r="AB33" t="s">
        <v>100</v>
      </c>
      <c r="AE33">
        <v>-1.7999999999999999E-2</v>
      </c>
      <c r="AF33">
        <v>-8.5000000000000006E-2</v>
      </c>
      <c r="AG33">
        <v>-9.4619999999999996E-2</v>
      </c>
      <c r="AH33">
        <v>-0.05</v>
      </c>
      <c r="AI33">
        <v>-7.0000000000000007E-2</v>
      </c>
      <c r="AJ33">
        <v>-3.4000000000000002E-2</v>
      </c>
      <c r="AK33">
        <v>-1.2999999999999999E-2</v>
      </c>
      <c r="AL33">
        <v>-1.2999999999999999E-2</v>
      </c>
      <c r="AM33">
        <v>-1.2999999999999999E-2</v>
      </c>
      <c r="AN33">
        <v>-1.2999999999999999E-2</v>
      </c>
      <c r="AO33">
        <v>-1.2999999999999999E-2</v>
      </c>
      <c r="AP33">
        <v>-1.2999999999999999E-2</v>
      </c>
      <c r="AQ33">
        <v>-1.2999999999999999E-2</v>
      </c>
      <c r="AR33">
        <v>-1.2999999999999999E-2</v>
      </c>
      <c r="AS33">
        <v>-1.2999999999999999E-2</v>
      </c>
      <c r="AT33">
        <v>-1.2999999999999999E-2</v>
      </c>
      <c r="AU33">
        <v>-1.2999999999999999E-2</v>
      </c>
      <c r="AV33">
        <v>-1.2999999999999999E-2</v>
      </c>
      <c r="AW33">
        <v>-9.9000000000000005E-2</v>
      </c>
      <c r="AX33">
        <v>-9.9000000000000005E-2</v>
      </c>
      <c r="AY33">
        <v>-0.11169999999999999</v>
      </c>
      <c r="AZ33">
        <v>-8.8999999999999996E-2</v>
      </c>
      <c r="BA33">
        <v>-9.5000000000000001E-2</v>
      </c>
      <c r="BB33">
        <v>-0.1</v>
      </c>
      <c r="BC33">
        <v>9.5699999999999993E-2</v>
      </c>
      <c r="BD33">
        <v>8.9999999999999998E-4</v>
      </c>
      <c r="BE33">
        <v>2.0500000000000001E-2</v>
      </c>
      <c r="BF33">
        <v>1.4999999999999999E-2</v>
      </c>
      <c r="BG33">
        <v>0.02</v>
      </c>
      <c r="BH33">
        <v>8.9999999999999993E-3</v>
      </c>
      <c r="BI33">
        <v>5.0000000000000001E-3</v>
      </c>
      <c r="BJ33">
        <v>0.02</v>
      </c>
    </row>
    <row r="34" spans="1:63" x14ac:dyDescent="0.25">
      <c r="A34" t="s">
        <v>101</v>
      </c>
      <c r="C34" s="1">
        <v>33325.75</v>
      </c>
      <c r="D34" s="1">
        <v>2272.75</v>
      </c>
      <c r="E34" s="1">
        <v>1823.59</v>
      </c>
      <c r="F34" s="1">
        <v>1882.15</v>
      </c>
      <c r="G34" s="1">
        <v>1906</v>
      </c>
      <c r="H34" s="1">
        <v>1986.73</v>
      </c>
      <c r="I34" s="1">
        <v>1528.84</v>
      </c>
      <c r="J34" s="1">
        <v>1608.22</v>
      </c>
      <c r="K34" s="1">
        <v>2658.7</v>
      </c>
      <c r="L34" s="1">
        <v>2300.7399999999998</v>
      </c>
      <c r="M34" s="1">
        <v>1011.41</v>
      </c>
      <c r="N34" s="1">
        <v>656.93</v>
      </c>
      <c r="O34" s="1">
        <v>1085.99</v>
      </c>
      <c r="P34" s="1">
        <v>735.09</v>
      </c>
      <c r="Q34" s="1">
        <v>644.99</v>
      </c>
      <c r="R34" s="1">
        <v>605.74</v>
      </c>
      <c r="S34" s="1">
        <v>479.31</v>
      </c>
      <c r="T34" s="1">
        <v>1386.94</v>
      </c>
      <c r="U34" s="1">
        <v>1190.33</v>
      </c>
      <c r="V34" s="1">
        <v>825.08</v>
      </c>
      <c r="W34" s="1">
        <v>858.59</v>
      </c>
      <c r="X34" s="1">
        <v>1303.51</v>
      </c>
      <c r="Y34" s="1">
        <v>1002.98</v>
      </c>
      <c r="Z34" s="1">
        <v>1527.27</v>
      </c>
      <c r="AA34" s="1">
        <v>2043.87</v>
      </c>
      <c r="AB34" s="4" t="s">
        <v>101</v>
      </c>
      <c r="AE34">
        <v>0.05</v>
      </c>
      <c r="AF34">
        <v>-9.4E-2</v>
      </c>
      <c r="AG34">
        <v>-4.3999999999999997E-2</v>
      </c>
      <c r="AH34">
        <v>0.40350000000000003</v>
      </c>
      <c r="AI34">
        <v>-0.26140000000000002</v>
      </c>
      <c r="AJ34">
        <v>8.9999999999999993E-3</v>
      </c>
      <c r="AK34">
        <v>1.6E-2</v>
      </c>
      <c r="AL34">
        <v>1.7000000000000001E-2</v>
      </c>
      <c r="AM34">
        <v>1.7000000000000001E-2</v>
      </c>
      <c r="AN34">
        <v>1.7000000000000001E-2</v>
      </c>
      <c r="AO34">
        <v>1.7000000000000001E-2</v>
      </c>
      <c r="AP34">
        <v>1.7000000000000001E-2</v>
      </c>
      <c r="AQ34">
        <v>1.7000000000000001E-2</v>
      </c>
      <c r="AR34">
        <v>1.7000000000000001E-2</v>
      </c>
      <c r="AS34">
        <v>1.7000000000000001E-2</v>
      </c>
      <c r="AT34">
        <v>1.7000000000000001E-2</v>
      </c>
      <c r="AU34">
        <v>1.7000000000000001E-2</v>
      </c>
      <c r="AV34">
        <v>1.7000000000000001E-2</v>
      </c>
      <c r="AW34">
        <v>-1.7999999999999999E-2</v>
      </c>
      <c r="AX34">
        <v>-1.9E-2</v>
      </c>
      <c r="AY34">
        <v>-8.0000000000000002E-3</v>
      </c>
      <c r="AZ34">
        <v>-1.9E-2</v>
      </c>
      <c r="BA34">
        <v>-1.7000000000000001E-2</v>
      </c>
      <c r="BB34">
        <v>-1.4999999999999999E-2</v>
      </c>
      <c r="BC34">
        <v>-4.0000000000000001E-3</v>
      </c>
      <c r="BD34">
        <v>7.0000000000000001E-3</v>
      </c>
      <c r="BE34">
        <v>2E-3</v>
      </c>
      <c r="BF34">
        <v>3.0000000000000001E-3</v>
      </c>
      <c r="BG34">
        <v>2E-3</v>
      </c>
      <c r="BH34">
        <v>4.0000000000000001E-3</v>
      </c>
      <c r="BI34">
        <v>6.0000000000000001E-3</v>
      </c>
      <c r="BJ34">
        <v>2E-3</v>
      </c>
      <c r="BK34" t="s">
        <v>102</v>
      </c>
    </row>
    <row r="35" spans="1:63" x14ac:dyDescent="0.25">
      <c r="A35" t="s">
        <v>103</v>
      </c>
      <c r="C35" s="1">
        <v>32915.57</v>
      </c>
      <c r="D35" s="1">
        <v>462.62</v>
      </c>
      <c r="E35" s="1">
        <v>1.95</v>
      </c>
      <c r="F35" s="1">
        <v>37.28</v>
      </c>
      <c r="G35" s="1">
        <v>31.56</v>
      </c>
      <c r="H35" s="1">
        <v>429.36</v>
      </c>
      <c r="I35" s="1">
        <v>146.9</v>
      </c>
      <c r="J35" s="1">
        <v>338.39</v>
      </c>
      <c r="K35" s="1">
        <v>3483.54</v>
      </c>
      <c r="L35" s="1">
        <v>2612.7399999999998</v>
      </c>
      <c r="M35" s="1">
        <v>1263.97</v>
      </c>
      <c r="N35" s="1">
        <v>760.92</v>
      </c>
      <c r="O35" s="1">
        <v>0</v>
      </c>
      <c r="P35" s="1"/>
      <c r="Q35" s="1"/>
      <c r="R35" s="1"/>
      <c r="S35" s="1"/>
      <c r="T35" s="1">
        <v>0</v>
      </c>
      <c r="U35" s="1">
        <v>4537.22</v>
      </c>
      <c r="V35" s="1">
        <v>4802.99</v>
      </c>
      <c r="W35" s="1">
        <v>2138.2399999999998</v>
      </c>
      <c r="X35" s="1">
        <v>2877.97</v>
      </c>
      <c r="Y35" s="1">
        <v>3484.48</v>
      </c>
      <c r="Z35" s="1">
        <v>3507.62</v>
      </c>
      <c r="AA35" s="1">
        <v>1997.82</v>
      </c>
      <c r="AB35" t="s">
        <v>103</v>
      </c>
      <c r="AE35">
        <v>8.9999999999999993E-3</v>
      </c>
      <c r="AF35">
        <v>-1E-3</v>
      </c>
      <c r="AG35">
        <v>-2E-3</v>
      </c>
      <c r="AH35">
        <v>3.0000000000000001E-3</v>
      </c>
      <c r="AI35">
        <v>8.9999999999999993E-3</v>
      </c>
      <c r="AJ35">
        <v>0.251</v>
      </c>
      <c r="AK35">
        <v>4.0000000000000001E-3</v>
      </c>
      <c r="AL35">
        <v>4.0000000000000001E-3</v>
      </c>
      <c r="AM35">
        <v>4.0000000000000001E-3</v>
      </c>
      <c r="AN35">
        <v>4.0000000000000001E-3</v>
      </c>
      <c r="AO35">
        <v>4.0000000000000001E-3</v>
      </c>
      <c r="AP35">
        <v>4.0000000000000001E-3</v>
      </c>
      <c r="AQ35">
        <v>4.0000000000000001E-3</v>
      </c>
      <c r="AR35">
        <v>4.0000000000000001E-3</v>
      </c>
      <c r="AS35">
        <v>4.0000000000000001E-3</v>
      </c>
      <c r="AT35">
        <v>4.0000000000000001E-3</v>
      </c>
      <c r="AU35">
        <v>4.0000000000000001E-3</v>
      </c>
      <c r="AV35">
        <v>4.0000000000000001E-3</v>
      </c>
      <c r="AW35">
        <v>-3.0000000000000001E-3</v>
      </c>
      <c r="AX35">
        <v>-3.0000000000000001E-3</v>
      </c>
      <c r="AY35">
        <v>-2E-3</v>
      </c>
      <c r="AZ35">
        <v>-3.0000000000000001E-3</v>
      </c>
      <c r="BA35">
        <v>-3.0000000000000001E-3</v>
      </c>
      <c r="BB35">
        <v>-3.0000000000000001E-3</v>
      </c>
      <c r="BC35">
        <v>-1E-3</v>
      </c>
      <c r="BD35">
        <v>3.0000000000000001E-3</v>
      </c>
      <c r="BE35">
        <v>5.0000000000000001E-4</v>
      </c>
      <c r="BF35">
        <v>1E-3</v>
      </c>
      <c r="BG35">
        <v>5.0000000000000001E-4</v>
      </c>
      <c r="BH35">
        <v>1E-3</v>
      </c>
      <c r="BI35">
        <v>2E-3</v>
      </c>
      <c r="BJ35">
        <v>5.9999999999999995E-4</v>
      </c>
      <c r="BK35" t="s">
        <v>104</v>
      </c>
    </row>
    <row r="36" spans="1:63" x14ac:dyDescent="0.25">
      <c r="A36" t="s">
        <v>105</v>
      </c>
      <c r="C36" s="1">
        <v>32240.3</v>
      </c>
      <c r="D36" s="1">
        <v>288.26</v>
      </c>
      <c r="E36" s="1">
        <v>253.67</v>
      </c>
      <c r="F36" s="1">
        <v>253.78</v>
      </c>
      <c r="G36" s="1">
        <v>156.02000000000001</v>
      </c>
      <c r="H36" s="1">
        <v>59.26</v>
      </c>
      <c r="I36" s="1">
        <v>75.069999999999993</v>
      </c>
      <c r="J36" s="1">
        <v>205.46</v>
      </c>
      <c r="K36" s="1">
        <v>296.05</v>
      </c>
      <c r="L36" s="1">
        <v>629.96</v>
      </c>
      <c r="M36" s="1">
        <v>1399.44</v>
      </c>
      <c r="N36" s="1">
        <v>1396.89</v>
      </c>
      <c r="O36" s="1">
        <v>1976.95</v>
      </c>
      <c r="P36" s="1">
        <v>2257.87</v>
      </c>
      <c r="Q36" s="1">
        <v>2949.19</v>
      </c>
      <c r="R36" s="1">
        <v>3758.9</v>
      </c>
      <c r="S36" s="1">
        <v>4072.73</v>
      </c>
      <c r="T36" s="1">
        <v>4766.5</v>
      </c>
      <c r="U36" s="1">
        <v>4503.34</v>
      </c>
      <c r="V36" s="1">
        <v>1598.82</v>
      </c>
      <c r="W36" s="1">
        <v>233.58</v>
      </c>
      <c r="X36" s="1">
        <v>279.89</v>
      </c>
      <c r="Y36" s="1">
        <v>235.08</v>
      </c>
      <c r="Z36" s="1">
        <v>272.5</v>
      </c>
      <c r="AA36" s="1">
        <v>321.08999999999997</v>
      </c>
      <c r="AB36" t="s">
        <v>105</v>
      </c>
      <c r="AE36">
        <v>-2.8000000000000001E-2</v>
      </c>
      <c r="AF36">
        <v>9.2999999999999999E-2</v>
      </c>
      <c r="AG36">
        <v>0.11</v>
      </c>
      <c r="AH36">
        <v>7.0000000000000007E-2</v>
      </c>
      <c r="AI36">
        <v>0.09</v>
      </c>
      <c r="AJ36">
        <v>3.2000000000000001E-2</v>
      </c>
      <c r="AK36">
        <v>-4.4999999999999998E-2</v>
      </c>
      <c r="AL36">
        <v>-0.04</v>
      </c>
      <c r="AM36">
        <v>-0.04</v>
      </c>
      <c r="AN36">
        <v>-3.5000000000000003E-2</v>
      </c>
      <c r="AO36">
        <v>-0.04</v>
      </c>
      <c r="AP36">
        <v>-0.04</v>
      </c>
      <c r="AQ36">
        <v>-4.8000000000000001E-2</v>
      </c>
      <c r="AR36">
        <v>-3.6499999999999998E-2</v>
      </c>
      <c r="AS36">
        <v>-4.1000000000000002E-2</v>
      </c>
      <c r="AT36">
        <v>-4.1000000000000002E-2</v>
      </c>
      <c r="AU36">
        <v>-0.04</v>
      </c>
      <c r="AV36">
        <v>-4.1500000000000002E-2</v>
      </c>
      <c r="AW36">
        <v>0.11</v>
      </c>
      <c r="AX36">
        <v>9.6000000000000002E-2</v>
      </c>
      <c r="AY36">
        <v>0.06</v>
      </c>
      <c r="AZ36">
        <v>0.105</v>
      </c>
      <c r="BA36">
        <v>9.6000000000000002E-2</v>
      </c>
      <c r="BB36">
        <v>9.1999999999999998E-2</v>
      </c>
      <c r="BC36">
        <v>2E-3</v>
      </c>
      <c r="BD36">
        <v>-6.3E-2</v>
      </c>
      <c r="BE36">
        <v>-7.8E-2</v>
      </c>
      <c r="BF36">
        <v>-7.6999999999999999E-2</v>
      </c>
      <c r="BG36">
        <v>-7.8E-2</v>
      </c>
      <c r="BH36">
        <v>-7.3999999999999996E-2</v>
      </c>
      <c r="BI36">
        <v>-6.9000000000000006E-2</v>
      </c>
      <c r="BJ36">
        <v>-7.8E-2</v>
      </c>
    </row>
    <row r="37" spans="1:63" x14ac:dyDescent="0.25">
      <c r="A37" t="s">
        <v>106</v>
      </c>
      <c r="C37" s="1">
        <v>32001.33</v>
      </c>
      <c r="D37" s="1">
        <v>2132.4499999999998</v>
      </c>
      <c r="E37" s="1">
        <v>1598</v>
      </c>
      <c r="F37" s="1">
        <v>1834.9</v>
      </c>
      <c r="G37" s="1">
        <v>2120.77</v>
      </c>
      <c r="H37" s="1">
        <v>2788.32</v>
      </c>
      <c r="I37" s="1">
        <v>2589.66</v>
      </c>
      <c r="J37" s="1">
        <v>2454.6</v>
      </c>
      <c r="K37" s="1">
        <v>1624</v>
      </c>
      <c r="L37" s="1">
        <v>58.4</v>
      </c>
      <c r="M37" s="1">
        <v>88.81</v>
      </c>
      <c r="N37" s="1">
        <v>98.94</v>
      </c>
      <c r="O37" s="1">
        <v>120.61</v>
      </c>
      <c r="P37" s="1">
        <v>128.99</v>
      </c>
      <c r="Q37" s="1">
        <v>54.63</v>
      </c>
      <c r="R37" s="1">
        <v>0.06</v>
      </c>
      <c r="S37" s="1">
        <v>1.04</v>
      </c>
      <c r="T37" s="1">
        <v>2.5099999999999998</v>
      </c>
      <c r="U37" s="1">
        <v>739.1</v>
      </c>
      <c r="V37" s="1">
        <v>2228.19</v>
      </c>
      <c r="W37" s="1">
        <v>2077.62</v>
      </c>
      <c r="X37" s="1">
        <v>2134.42</v>
      </c>
      <c r="Y37" s="1">
        <v>2610.4499999999998</v>
      </c>
      <c r="Z37" s="1">
        <v>2811.61</v>
      </c>
      <c r="AA37" s="1">
        <v>1703.25</v>
      </c>
      <c r="AB37" t="s">
        <v>106</v>
      </c>
      <c r="AE37">
        <v>-1.7999999999999999E-2</v>
      </c>
      <c r="AF37">
        <v>-5.0000000000000001E-3</v>
      </c>
      <c r="AG37">
        <v>-4.0000000000000001E-3</v>
      </c>
      <c r="AH37">
        <v>-0.01</v>
      </c>
      <c r="AI37">
        <v>-7.0000000000000001E-3</v>
      </c>
      <c r="AJ37">
        <v>-5.0000000000000001E-3</v>
      </c>
      <c r="AK37">
        <v>-4.0000000000000001E-3</v>
      </c>
      <c r="AL37">
        <v>8.2000000000000003E-2</v>
      </c>
      <c r="AM37">
        <v>8.8499999999999995E-2</v>
      </c>
      <c r="AN37">
        <v>5.9900000000000002E-2</v>
      </c>
      <c r="AO37">
        <v>8.5999999999999993E-2</v>
      </c>
      <c r="AP37">
        <v>8.5999999999999993E-2</v>
      </c>
      <c r="AQ37">
        <v>-2.8000000000000001E-2</v>
      </c>
      <c r="AR37">
        <v>4.7600000000000003E-2</v>
      </c>
      <c r="AS37">
        <v>0.1</v>
      </c>
      <c r="AT37">
        <v>9.4E-2</v>
      </c>
      <c r="AU37">
        <v>8.7999999999999995E-2</v>
      </c>
      <c r="AV37">
        <v>9.4E-2</v>
      </c>
      <c r="AW37">
        <v>-4.0000000000000001E-3</v>
      </c>
      <c r="AX37">
        <v>-4.0000000000000001E-3</v>
      </c>
      <c r="AY37">
        <v>-5.0000000000000001E-3</v>
      </c>
      <c r="AZ37">
        <v>-4.0000000000000001E-3</v>
      </c>
      <c r="BA37">
        <v>-4.0000000000000001E-3</v>
      </c>
      <c r="BB37">
        <v>-4.0000000000000001E-3</v>
      </c>
      <c r="BC37">
        <v>-6.0000000000000001E-3</v>
      </c>
      <c r="BD37">
        <v>-0.01</v>
      </c>
      <c r="BE37">
        <v>-8.8000000000000005E-3</v>
      </c>
      <c r="BF37">
        <v>-8.9999999999999993E-3</v>
      </c>
      <c r="BG37">
        <v>-8.0000000000000002E-3</v>
      </c>
      <c r="BH37">
        <v>-0.01</v>
      </c>
      <c r="BI37">
        <v>-1.0999999999999999E-2</v>
      </c>
      <c r="BJ37">
        <v>-8.0000000000000002E-3</v>
      </c>
    </row>
    <row r="38" spans="1:63" x14ac:dyDescent="0.25">
      <c r="A38" t="s">
        <v>107</v>
      </c>
      <c r="C38" s="1">
        <v>31442.57</v>
      </c>
      <c r="D38" s="1">
        <v>1614.56</v>
      </c>
      <c r="E38" s="1">
        <v>1865.31</v>
      </c>
      <c r="F38" s="1">
        <v>1860.67</v>
      </c>
      <c r="G38" s="1">
        <v>1941.16</v>
      </c>
      <c r="H38" s="1">
        <v>1443.57</v>
      </c>
      <c r="I38" s="1">
        <v>1847.13</v>
      </c>
      <c r="J38" s="1">
        <v>1313.93</v>
      </c>
      <c r="K38" s="1">
        <v>1093.3</v>
      </c>
      <c r="L38" s="1">
        <v>742.74</v>
      </c>
      <c r="M38" s="1">
        <v>241.84</v>
      </c>
      <c r="N38" s="1">
        <v>424.34</v>
      </c>
      <c r="O38" s="1">
        <v>308.61</v>
      </c>
      <c r="P38" s="1">
        <v>171.39</v>
      </c>
      <c r="Q38" s="1">
        <v>27.01</v>
      </c>
      <c r="R38" s="1">
        <v>53.78</v>
      </c>
      <c r="S38" s="1">
        <v>167.27</v>
      </c>
      <c r="T38" s="1">
        <v>797.88</v>
      </c>
      <c r="U38" s="1">
        <v>1641.74</v>
      </c>
      <c r="V38" s="1">
        <v>2939.11</v>
      </c>
      <c r="W38" s="1">
        <v>2708.21</v>
      </c>
      <c r="X38" s="1">
        <v>1879.05</v>
      </c>
      <c r="Y38" s="1">
        <v>1197.21</v>
      </c>
      <c r="Z38" s="1">
        <v>3335.75</v>
      </c>
      <c r="AA38" s="1">
        <v>1827.01</v>
      </c>
      <c r="AB38" t="s">
        <v>107</v>
      </c>
      <c r="AE38">
        <v>0.1</v>
      </c>
      <c r="AF38">
        <v>1.4999999999999999E-2</v>
      </c>
      <c r="AG38">
        <v>5.0000000000000001E-3</v>
      </c>
      <c r="AH38">
        <v>6.3E-2</v>
      </c>
      <c r="AI38">
        <v>3.9E-2</v>
      </c>
      <c r="AJ38">
        <v>2.9000000000000001E-2</v>
      </c>
      <c r="AK38">
        <v>0.3</v>
      </c>
      <c r="AL38">
        <v>0.27037</v>
      </c>
      <c r="AM38">
        <v>0.2</v>
      </c>
      <c r="AN38">
        <v>0.19900000000000001</v>
      </c>
      <c r="AO38">
        <v>0.2</v>
      </c>
      <c r="AP38">
        <v>0.2</v>
      </c>
      <c r="AQ38">
        <v>0.24199999999999999</v>
      </c>
      <c r="AR38">
        <v>0.19900000000000001</v>
      </c>
      <c r="AS38">
        <v>0.21</v>
      </c>
      <c r="AT38">
        <v>0.21</v>
      </c>
      <c r="AU38">
        <v>0.2</v>
      </c>
      <c r="AV38">
        <v>0.21</v>
      </c>
      <c r="AW38">
        <v>-1E-3</v>
      </c>
      <c r="AX38">
        <v>-1E-3</v>
      </c>
      <c r="AY38">
        <v>-1.4999999999999999E-2</v>
      </c>
      <c r="AZ38">
        <v>8.0000000000000004E-4</v>
      </c>
      <c r="BA38">
        <v>-1E-3</v>
      </c>
      <c r="BB38">
        <v>-3.0000000000000001E-3</v>
      </c>
      <c r="BC38">
        <v>-0.05</v>
      </c>
      <c r="BD38">
        <v>-0.08</v>
      </c>
      <c r="BE38">
        <v>-0.06</v>
      </c>
      <c r="BF38">
        <v>-6.3E-2</v>
      </c>
      <c r="BG38">
        <v>-5.5E-2</v>
      </c>
      <c r="BH38">
        <v>-6.6000000000000003E-2</v>
      </c>
      <c r="BI38">
        <v>-0.08</v>
      </c>
      <c r="BJ38">
        <v>-5.5E-2</v>
      </c>
    </row>
    <row r="39" spans="1:63" x14ac:dyDescent="0.25">
      <c r="A39" t="s">
        <v>108</v>
      </c>
      <c r="C39" s="1">
        <v>31078.31</v>
      </c>
      <c r="D39" s="1">
        <v>732.67</v>
      </c>
      <c r="E39" s="1">
        <v>828.35</v>
      </c>
      <c r="F39" s="1">
        <v>678.43</v>
      </c>
      <c r="G39" s="1">
        <v>559.72</v>
      </c>
      <c r="H39" s="1">
        <v>529.04</v>
      </c>
      <c r="I39" s="1">
        <v>659.52</v>
      </c>
      <c r="J39" s="1">
        <v>459.88</v>
      </c>
      <c r="K39" s="1">
        <v>750.46</v>
      </c>
      <c r="L39" s="1">
        <v>551.54999999999995</v>
      </c>
      <c r="M39" s="1">
        <v>774.35</v>
      </c>
      <c r="N39" s="1">
        <v>980.56</v>
      </c>
      <c r="O39" s="1">
        <v>1226.23</v>
      </c>
      <c r="P39" s="1">
        <v>1632.21</v>
      </c>
      <c r="Q39" s="1">
        <v>1603.99</v>
      </c>
      <c r="R39" s="1">
        <v>2091.09</v>
      </c>
      <c r="S39" s="1">
        <v>2240.06</v>
      </c>
      <c r="T39" s="1">
        <v>3034.23</v>
      </c>
      <c r="U39" s="1">
        <v>2647.55</v>
      </c>
      <c r="V39" s="1">
        <v>2695.64</v>
      </c>
      <c r="W39" s="1">
        <v>2096.69</v>
      </c>
      <c r="X39" s="1">
        <v>1339.35</v>
      </c>
      <c r="Y39" s="1">
        <v>1140.51</v>
      </c>
      <c r="Z39" s="1">
        <v>1128.46</v>
      </c>
      <c r="AA39" s="1">
        <v>697.77</v>
      </c>
      <c r="AB39" t="s">
        <v>108</v>
      </c>
      <c r="AE39">
        <v>-0.02</v>
      </c>
      <c r="AF39">
        <v>-8.0000000000000002E-3</v>
      </c>
      <c r="AG39">
        <v>-7.0000000000000001E-3</v>
      </c>
      <c r="AH39">
        <v>-1.2999999999999999E-2</v>
      </c>
      <c r="AI39">
        <v>-0.01</v>
      </c>
      <c r="AJ39">
        <v>-0.02</v>
      </c>
      <c r="AK39">
        <v>-1.4999999999999999E-2</v>
      </c>
      <c r="AL39">
        <v>-1.4999999999999999E-2</v>
      </c>
      <c r="AM39">
        <v>-1.4999999999999999E-2</v>
      </c>
      <c r="AN39">
        <v>-1.4999999999999999E-2</v>
      </c>
      <c r="AO39">
        <v>-1.4999999999999999E-2</v>
      </c>
      <c r="AP39">
        <v>-1.4999999999999999E-2</v>
      </c>
      <c r="AQ39">
        <v>-1.4999999999999999E-2</v>
      </c>
      <c r="AR39">
        <v>-1.4999999999999999E-2</v>
      </c>
      <c r="AS39">
        <v>-1.4999999999999999E-2</v>
      </c>
      <c r="AT39">
        <v>-1.4999999999999999E-2</v>
      </c>
      <c r="AU39">
        <v>-1.4999999999999999E-2</v>
      </c>
      <c r="AV39">
        <v>-1.4999999999999999E-2</v>
      </c>
      <c r="AW39">
        <v>-6.0000000000000001E-3</v>
      </c>
      <c r="AX39">
        <v>-6.0000000000000001E-3</v>
      </c>
      <c r="AY39">
        <v>-6.0000000000000001E-3</v>
      </c>
      <c r="AZ39">
        <v>-6.0000000000000001E-3</v>
      </c>
      <c r="BA39">
        <v>-6.0000000000000001E-3</v>
      </c>
      <c r="BB39">
        <v>-6.0000000000000001E-3</v>
      </c>
      <c r="BC39">
        <v>2.9999999999999997E-4</v>
      </c>
      <c r="BD39">
        <v>5.2999999999999999E-2</v>
      </c>
      <c r="BE39">
        <v>1.0800000000000001E-2</v>
      </c>
      <c r="BF39">
        <v>1.2E-2</v>
      </c>
      <c r="BG39">
        <v>0.01</v>
      </c>
      <c r="BH39">
        <v>5.7000000000000002E-2</v>
      </c>
      <c r="BI39">
        <v>1.4E-2</v>
      </c>
      <c r="BJ39">
        <v>1.0999999999999999E-2</v>
      </c>
    </row>
    <row r="40" spans="1:63" x14ac:dyDescent="0.25">
      <c r="A40" t="s">
        <v>109</v>
      </c>
      <c r="C40" s="1">
        <v>30989.79</v>
      </c>
      <c r="D40" s="1">
        <v>4086.86</v>
      </c>
      <c r="E40" s="1">
        <v>3745.26</v>
      </c>
      <c r="F40" s="1">
        <v>3211.53</v>
      </c>
      <c r="G40" s="1">
        <v>2996.59</v>
      </c>
      <c r="H40" s="1">
        <v>2905.08</v>
      </c>
      <c r="I40" s="1">
        <v>2210.8200000000002</v>
      </c>
      <c r="J40" s="1">
        <v>1592.44</v>
      </c>
      <c r="K40" s="1">
        <v>672.79</v>
      </c>
      <c r="L40" s="1">
        <v>254.66</v>
      </c>
      <c r="M40" s="1">
        <v>266.87</v>
      </c>
      <c r="N40" s="1">
        <v>174.72</v>
      </c>
      <c r="O40" s="1">
        <v>177.29</v>
      </c>
      <c r="P40" s="1">
        <v>145.49</v>
      </c>
      <c r="Q40" s="1">
        <v>141.08000000000001</v>
      </c>
      <c r="R40" s="1">
        <v>122.16</v>
      </c>
      <c r="S40" s="1">
        <v>83.53</v>
      </c>
      <c r="T40" s="1">
        <v>83.41</v>
      </c>
      <c r="U40" s="1">
        <v>113.11</v>
      </c>
      <c r="V40" s="1">
        <v>546.52</v>
      </c>
      <c r="W40" s="1">
        <v>356.42</v>
      </c>
      <c r="X40" s="1">
        <v>556.64</v>
      </c>
      <c r="Y40" s="1">
        <v>1059.67</v>
      </c>
      <c r="Z40" s="1">
        <v>2265.1</v>
      </c>
      <c r="AA40" s="1">
        <v>3221.75</v>
      </c>
      <c r="AB40" t="s">
        <v>109</v>
      </c>
      <c r="AE40">
        <v>5.6000000000000001E-2</v>
      </c>
      <c r="AF40">
        <v>7.0000000000000001E-3</v>
      </c>
      <c r="AG40">
        <v>1.5E-3</v>
      </c>
      <c r="AH40">
        <v>3.6999999999999998E-2</v>
      </c>
      <c r="AI40">
        <v>2.1999999999999999E-2</v>
      </c>
      <c r="AJ40">
        <v>-2.5000000000000001E-2</v>
      </c>
      <c r="AK40">
        <v>0.23300000000000001</v>
      </c>
      <c r="AL40">
        <v>0.2</v>
      </c>
      <c r="AM40">
        <v>0.2</v>
      </c>
      <c r="AN40">
        <v>0.19</v>
      </c>
      <c r="AO40">
        <v>0.2</v>
      </c>
      <c r="AP40">
        <v>0.2</v>
      </c>
      <c r="AQ40">
        <v>0.11</v>
      </c>
      <c r="AR40">
        <v>0.19</v>
      </c>
      <c r="AS40">
        <v>0.21</v>
      </c>
      <c r="AT40">
        <v>0.21</v>
      </c>
      <c r="AU40">
        <v>0.20899999999999999</v>
      </c>
      <c r="AV40">
        <v>0.21</v>
      </c>
      <c r="AW40">
        <v>-2E-3</v>
      </c>
      <c r="AX40">
        <v>-2E-3</v>
      </c>
      <c r="AY40">
        <v>-1.2999999999999999E-2</v>
      </c>
      <c r="AZ40">
        <v>-1E-3</v>
      </c>
      <c r="BA40">
        <v>-2E-3</v>
      </c>
      <c r="BB40">
        <v>-4.0000000000000001E-3</v>
      </c>
      <c r="BC40">
        <v>-0.02</v>
      </c>
      <c r="BD40">
        <v>-5.6000000000000001E-2</v>
      </c>
      <c r="BE40">
        <v>-3.7999999999999999E-2</v>
      </c>
      <c r="BF40">
        <v>-4.2000000000000003E-2</v>
      </c>
      <c r="BG40">
        <v>-3.7999999999999999E-2</v>
      </c>
      <c r="BH40">
        <v>-4.5999999999999999E-2</v>
      </c>
      <c r="BI40">
        <v>-0.05</v>
      </c>
      <c r="BJ40">
        <v>-3.7999999999999999E-2</v>
      </c>
    </row>
    <row r="41" spans="1:63" x14ac:dyDescent="0.25">
      <c r="A41" t="s">
        <v>110</v>
      </c>
      <c r="C41" s="1">
        <v>26713.59</v>
      </c>
      <c r="D41" s="1">
        <v>332.51</v>
      </c>
      <c r="E41" s="1">
        <v>287.60000000000002</v>
      </c>
      <c r="F41" s="1">
        <v>388.6</v>
      </c>
      <c r="G41" s="1">
        <v>344.67</v>
      </c>
      <c r="H41" s="1">
        <v>272.92</v>
      </c>
      <c r="I41" s="1">
        <v>147.08000000000001</v>
      </c>
      <c r="J41" s="1">
        <v>280.18</v>
      </c>
      <c r="K41" s="1">
        <v>389.13</v>
      </c>
      <c r="L41" s="1">
        <v>517.26</v>
      </c>
      <c r="M41" s="1">
        <v>811.18</v>
      </c>
      <c r="N41" s="1">
        <v>1288.83</v>
      </c>
      <c r="O41" s="1">
        <v>1718.61</v>
      </c>
      <c r="P41" s="1">
        <v>2129.86</v>
      </c>
      <c r="Q41" s="1">
        <v>2934.82</v>
      </c>
      <c r="R41" s="1">
        <v>3452.33</v>
      </c>
      <c r="S41" s="1">
        <v>3887.98</v>
      </c>
      <c r="T41" s="1">
        <v>3134.25</v>
      </c>
      <c r="U41" s="1">
        <v>1445.88</v>
      </c>
      <c r="V41" s="1">
        <v>674.33</v>
      </c>
      <c r="W41" s="1">
        <v>561.59</v>
      </c>
      <c r="X41" s="1">
        <v>412.34</v>
      </c>
      <c r="Y41" s="1">
        <v>488.24</v>
      </c>
      <c r="Z41" s="1">
        <v>467.28</v>
      </c>
      <c r="AA41" s="1">
        <v>346.12</v>
      </c>
      <c r="AB41" t="s">
        <v>110</v>
      </c>
      <c r="AE41">
        <v>-0.01</v>
      </c>
      <c r="AF41">
        <v>-0.02</v>
      </c>
      <c r="AG41">
        <v>-0.02</v>
      </c>
      <c r="AH41">
        <v>-0.02</v>
      </c>
      <c r="AI41">
        <v>-0.02</v>
      </c>
      <c r="AJ41">
        <v>-0.01</v>
      </c>
      <c r="AK41">
        <v>-0.01</v>
      </c>
      <c r="AL41">
        <v>-0.01</v>
      </c>
      <c r="AM41">
        <v>-0.01</v>
      </c>
      <c r="AN41">
        <v>-0.01</v>
      </c>
      <c r="AO41">
        <v>-0.01</v>
      </c>
      <c r="AP41">
        <v>-0.01</v>
      </c>
      <c r="AQ41">
        <v>-0.01</v>
      </c>
      <c r="AR41">
        <v>-0.01</v>
      </c>
      <c r="AS41">
        <v>-0.01</v>
      </c>
      <c r="AT41">
        <v>-0.01</v>
      </c>
      <c r="AU41">
        <v>-0.01</v>
      </c>
      <c r="AV41">
        <v>-0.01</v>
      </c>
      <c r="AW41">
        <v>-2.5000000000000001E-2</v>
      </c>
      <c r="AX41">
        <v>-0.02</v>
      </c>
      <c r="AY41">
        <v>-0.02</v>
      </c>
      <c r="AZ41">
        <v>-0.02</v>
      </c>
      <c r="BA41">
        <v>-0.02</v>
      </c>
      <c r="BB41">
        <v>-2.5000000000000001E-2</v>
      </c>
      <c r="BC41">
        <v>9.5149999999999998E-2</v>
      </c>
      <c r="BD41">
        <v>-1.4E-2</v>
      </c>
      <c r="BE41">
        <v>-1.0999999999999999E-2</v>
      </c>
      <c r="BF41">
        <v>-1.2E-2</v>
      </c>
      <c r="BG41">
        <v>-1.0999999999999999E-2</v>
      </c>
      <c r="BH41">
        <v>-1.2999999999999999E-2</v>
      </c>
      <c r="BI41">
        <v>-1.2999999999999999E-2</v>
      </c>
      <c r="BJ41">
        <v>-1.0999999999999999E-2</v>
      </c>
    </row>
    <row r="42" spans="1:63" x14ac:dyDescent="0.25">
      <c r="A42" t="s">
        <v>111</v>
      </c>
      <c r="C42" s="1">
        <v>26156.41</v>
      </c>
      <c r="D42" s="1"/>
      <c r="E42" s="1"/>
      <c r="F42" s="1"/>
      <c r="G42" s="1"/>
      <c r="H42" s="1"/>
      <c r="I42" s="1"/>
      <c r="J42" s="1"/>
      <c r="K42" s="1"/>
      <c r="L42" s="1">
        <v>51.2</v>
      </c>
      <c r="M42" s="1">
        <v>888.78</v>
      </c>
      <c r="N42" s="1">
        <v>1963.97</v>
      </c>
      <c r="O42" s="1">
        <v>3301.9</v>
      </c>
      <c r="P42" s="1">
        <v>3954.66</v>
      </c>
      <c r="Q42" s="1">
        <v>3422.34</v>
      </c>
      <c r="R42" s="1">
        <v>3690.71</v>
      </c>
      <c r="S42" s="1">
        <v>3977.51</v>
      </c>
      <c r="T42" s="1">
        <v>3264.92</v>
      </c>
      <c r="U42" s="1">
        <v>1465.73</v>
      </c>
      <c r="V42" s="1">
        <v>173.85</v>
      </c>
      <c r="W42" s="1">
        <v>0.84</v>
      </c>
      <c r="X42" s="1">
        <v>0</v>
      </c>
      <c r="Y42" s="1"/>
      <c r="Z42" s="1"/>
      <c r="AA42" s="1"/>
      <c r="AB42" t="s">
        <v>111</v>
      </c>
      <c r="AE42" t="s">
        <v>64</v>
      </c>
      <c r="AF42">
        <v>-4.9000000000000002E-2</v>
      </c>
      <c r="AG42">
        <v>-2.1999999999999999E-2</v>
      </c>
      <c r="AH42">
        <v>-5.8000000000000003E-2</v>
      </c>
      <c r="AI42">
        <v>-0.06</v>
      </c>
      <c r="AJ42" t="s">
        <v>64</v>
      </c>
      <c r="AK42" t="s">
        <v>64</v>
      </c>
      <c r="AL42" t="s">
        <v>64</v>
      </c>
      <c r="AM42" t="s">
        <v>64</v>
      </c>
      <c r="AN42" t="s">
        <v>64</v>
      </c>
      <c r="AO42" t="s">
        <v>64</v>
      </c>
      <c r="AP42" t="s">
        <v>64</v>
      </c>
      <c r="AQ42" t="s">
        <v>64</v>
      </c>
      <c r="AR42" t="s">
        <v>64</v>
      </c>
      <c r="AS42" t="s">
        <v>64</v>
      </c>
      <c r="AT42" t="s">
        <v>64</v>
      </c>
      <c r="AU42" t="s">
        <v>64</v>
      </c>
      <c r="AV42" t="s">
        <v>64</v>
      </c>
      <c r="AW42" t="s">
        <v>64</v>
      </c>
      <c r="AX42" t="s">
        <v>64</v>
      </c>
      <c r="AY42" t="s">
        <v>64</v>
      </c>
      <c r="AZ42">
        <v>-0.01</v>
      </c>
      <c r="BA42" t="s">
        <v>64</v>
      </c>
      <c r="BB42" t="s">
        <v>64</v>
      </c>
      <c r="BC42" t="s">
        <v>64</v>
      </c>
      <c r="BD42" t="s">
        <v>64</v>
      </c>
      <c r="BE42" t="s">
        <v>64</v>
      </c>
      <c r="BF42" t="s">
        <v>64</v>
      </c>
      <c r="BG42" t="s">
        <v>64</v>
      </c>
      <c r="BH42" t="s">
        <v>64</v>
      </c>
      <c r="BI42" t="s">
        <v>64</v>
      </c>
      <c r="BJ42" t="s">
        <v>64</v>
      </c>
    </row>
    <row r="43" spans="1:63" x14ac:dyDescent="0.25">
      <c r="A43" t="s">
        <v>112</v>
      </c>
      <c r="C43" s="1">
        <v>25619.24</v>
      </c>
      <c r="D43" s="1">
        <v>66.680000000000007</v>
      </c>
      <c r="E43" s="1">
        <v>32.619999999999997</v>
      </c>
      <c r="F43" s="1">
        <v>2.4300000000000002</v>
      </c>
      <c r="G43" s="1">
        <v>0.55000000000000004</v>
      </c>
      <c r="H43" s="1">
        <v>0</v>
      </c>
      <c r="I43" s="1">
        <v>0</v>
      </c>
      <c r="J43" s="1">
        <v>1.8</v>
      </c>
      <c r="K43" s="1">
        <v>0.86</v>
      </c>
      <c r="L43" s="1">
        <v>76.94</v>
      </c>
      <c r="M43" s="1">
        <v>560.75</v>
      </c>
      <c r="N43" s="1">
        <v>1094.5999999999999</v>
      </c>
      <c r="O43" s="1">
        <v>1812.68</v>
      </c>
      <c r="P43" s="1">
        <v>3093.01</v>
      </c>
      <c r="Q43" s="1">
        <v>3365.08</v>
      </c>
      <c r="R43" s="1">
        <v>3201.45</v>
      </c>
      <c r="S43" s="1">
        <v>5203.1499999999996</v>
      </c>
      <c r="T43" s="1">
        <v>3306.83</v>
      </c>
      <c r="U43" s="1">
        <v>2493.54</v>
      </c>
      <c r="V43" s="1">
        <v>715.96</v>
      </c>
      <c r="W43" s="1">
        <v>146.13999999999999</v>
      </c>
      <c r="X43" s="1">
        <v>128.88999999999999</v>
      </c>
      <c r="Y43" s="1">
        <v>91.6</v>
      </c>
      <c r="Z43" s="1">
        <v>86.7</v>
      </c>
      <c r="AA43" s="1">
        <v>136.97999999999999</v>
      </c>
      <c r="AB43" t="s">
        <v>112</v>
      </c>
      <c r="AE43">
        <v>-0.01</v>
      </c>
      <c r="AF43">
        <v>-0.1</v>
      </c>
      <c r="AG43">
        <v>-0.1</v>
      </c>
      <c r="AH43">
        <v>-0.01</v>
      </c>
      <c r="AI43">
        <v>-0.1</v>
      </c>
      <c r="AJ43">
        <v>-0.01</v>
      </c>
      <c r="AK43" t="s">
        <v>64</v>
      </c>
      <c r="AL43" t="s">
        <v>64</v>
      </c>
      <c r="AM43" t="s">
        <v>64</v>
      </c>
      <c r="AN43" t="s">
        <v>64</v>
      </c>
      <c r="AO43" t="s">
        <v>64</v>
      </c>
      <c r="AP43" t="s">
        <v>64</v>
      </c>
      <c r="AQ43" t="s">
        <v>64</v>
      </c>
      <c r="AR43" t="s">
        <v>64</v>
      </c>
      <c r="AS43" t="s">
        <v>64</v>
      </c>
      <c r="AT43" t="s">
        <v>64</v>
      </c>
      <c r="AU43" t="s">
        <v>64</v>
      </c>
      <c r="AV43" t="s">
        <v>64</v>
      </c>
      <c r="AW43" t="s">
        <v>64</v>
      </c>
      <c r="AX43" t="s">
        <v>64</v>
      </c>
      <c r="AY43" t="s">
        <v>64</v>
      </c>
      <c r="AZ43" t="s">
        <v>64</v>
      </c>
      <c r="BA43" t="s">
        <v>64</v>
      </c>
      <c r="BB43" t="s">
        <v>64</v>
      </c>
      <c r="BC43">
        <v>0.126</v>
      </c>
      <c r="BD43" t="s">
        <v>64</v>
      </c>
      <c r="BE43" t="s">
        <v>64</v>
      </c>
      <c r="BF43" t="s">
        <v>64</v>
      </c>
      <c r="BG43" t="s">
        <v>64</v>
      </c>
      <c r="BH43" t="s">
        <v>64</v>
      </c>
      <c r="BI43" t="s">
        <v>64</v>
      </c>
      <c r="BJ43" t="s">
        <v>64</v>
      </c>
    </row>
    <row r="44" spans="1:63" x14ac:dyDescent="0.25">
      <c r="A44" t="s">
        <v>113</v>
      </c>
      <c r="C44" s="1">
        <v>24101.09</v>
      </c>
      <c r="D44" s="1"/>
      <c r="E44" s="1"/>
      <c r="F44" s="1"/>
      <c r="G44" s="1"/>
      <c r="H44" s="1"/>
      <c r="I44" s="1"/>
      <c r="J44" s="1"/>
      <c r="K44" s="1">
        <v>5.09</v>
      </c>
      <c r="L44" s="1">
        <v>285.75</v>
      </c>
      <c r="M44" s="1">
        <v>648.94000000000005</v>
      </c>
      <c r="N44" s="1">
        <v>1402.71</v>
      </c>
      <c r="O44" s="1">
        <v>2246.81</v>
      </c>
      <c r="P44" s="1">
        <v>2739.23</v>
      </c>
      <c r="Q44" s="1">
        <v>2962.88</v>
      </c>
      <c r="R44" s="1">
        <v>3722.32</v>
      </c>
      <c r="S44" s="1">
        <v>4126.8</v>
      </c>
      <c r="T44" s="1">
        <v>3540.85</v>
      </c>
      <c r="U44" s="1">
        <v>2086.7399999999998</v>
      </c>
      <c r="V44" s="1">
        <v>332.97</v>
      </c>
      <c r="W44" s="1">
        <v>0</v>
      </c>
      <c r="X44" s="1">
        <v>0</v>
      </c>
      <c r="Y44" s="1">
        <v>0</v>
      </c>
      <c r="Z44" s="1"/>
      <c r="AA44" s="1"/>
      <c r="AB44" t="s">
        <v>113</v>
      </c>
      <c r="AE44" t="s">
        <v>64</v>
      </c>
      <c r="AF44">
        <v>-5.6899999999999999E-2</v>
      </c>
      <c r="AG44">
        <v>-0.06</v>
      </c>
      <c r="AH44">
        <v>-3.6999999999999998E-2</v>
      </c>
      <c r="AI44">
        <v>-4.7E-2</v>
      </c>
      <c r="AJ44">
        <v>-4.1000000000000002E-2</v>
      </c>
      <c r="AK44" t="s">
        <v>64</v>
      </c>
      <c r="AL44" t="s">
        <v>64</v>
      </c>
      <c r="AM44" t="s">
        <v>64</v>
      </c>
      <c r="AN44" t="s">
        <v>64</v>
      </c>
      <c r="AO44" t="s">
        <v>64</v>
      </c>
      <c r="AP44" t="s">
        <v>64</v>
      </c>
      <c r="AQ44" t="s">
        <v>64</v>
      </c>
      <c r="AR44" t="s">
        <v>64</v>
      </c>
      <c r="AS44" t="s">
        <v>64</v>
      </c>
      <c r="AT44" t="s">
        <v>64</v>
      </c>
      <c r="AU44" t="s">
        <v>64</v>
      </c>
      <c r="AV44" t="s">
        <v>64</v>
      </c>
      <c r="AW44">
        <v>-0.06</v>
      </c>
      <c r="AX44">
        <v>-0.06</v>
      </c>
      <c r="AY44">
        <v>-4.2999999999999997E-2</v>
      </c>
      <c r="AZ44">
        <v>-6.0999999999999999E-2</v>
      </c>
      <c r="BA44">
        <v>-6.0999999999999999E-2</v>
      </c>
      <c r="BB44">
        <v>-0.06</v>
      </c>
      <c r="BC44">
        <v>-2.1999999999999999E-2</v>
      </c>
      <c r="BD44">
        <v>2.5000000000000001E-2</v>
      </c>
      <c r="BE44">
        <v>7.5999999999999998E-2</v>
      </c>
      <c r="BF44">
        <v>9.2999999999999999E-2</v>
      </c>
      <c r="BG44">
        <v>7.5999999999999998E-2</v>
      </c>
      <c r="BH44">
        <v>6.8000000000000005E-2</v>
      </c>
      <c r="BI44">
        <v>0.05</v>
      </c>
      <c r="BJ44">
        <v>7.5999999999999998E-2</v>
      </c>
    </row>
    <row r="45" spans="1:63" x14ac:dyDescent="0.25">
      <c r="A45" t="s">
        <v>114</v>
      </c>
      <c r="C45" s="1">
        <v>23333.33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>
        <v>2333.33</v>
      </c>
      <c r="T45" s="1">
        <v>7000</v>
      </c>
      <c r="U45" s="1">
        <v>7000</v>
      </c>
      <c r="V45" s="1">
        <v>6416.67</v>
      </c>
      <c r="W45" s="1">
        <v>583.33000000000004</v>
      </c>
      <c r="X45" s="1">
        <v>0</v>
      </c>
      <c r="Y45" s="1">
        <v>0</v>
      </c>
      <c r="Z45" s="1">
        <v>0</v>
      </c>
      <c r="AA45" s="1">
        <v>0</v>
      </c>
      <c r="AB45" t="s">
        <v>114</v>
      </c>
      <c r="AE45">
        <v>-0.01</v>
      </c>
      <c r="AF45">
        <v>-0.01</v>
      </c>
      <c r="AG45" t="s">
        <v>64</v>
      </c>
      <c r="AH45">
        <v>-0.01</v>
      </c>
      <c r="AI45" t="s">
        <v>64</v>
      </c>
      <c r="AJ45">
        <v>-0.11</v>
      </c>
      <c r="AK45">
        <v>-0.01</v>
      </c>
      <c r="AL45">
        <v>-0.01</v>
      </c>
      <c r="AM45">
        <v>-0.01</v>
      </c>
      <c r="AN45">
        <v>-0.01</v>
      </c>
      <c r="AO45">
        <v>-0.01</v>
      </c>
      <c r="AP45">
        <v>-0.01</v>
      </c>
      <c r="AQ45">
        <v>-0.01</v>
      </c>
      <c r="AR45">
        <v>-0.01</v>
      </c>
      <c r="AS45">
        <v>-0.01</v>
      </c>
      <c r="AT45">
        <v>-0.01</v>
      </c>
      <c r="AU45">
        <v>-0.01</v>
      </c>
      <c r="AV45">
        <v>-0.01</v>
      </c>
      <c r="AW45" t="s">
        <v>64</v>
      </c>
      <c r="AX45" t="s">
        <v>64</v>
      </c>
      <c r="AY45" t="s">
        <v>64</v>
      </c>
      <c r="AZ45" t="s">
        <v>64</v>
      </c>
      <c r="BA45" t="s">
        <v>64</v>
      </c>
      <c r="BB45" t="s">
        <v>64</v>
      </c>
      <c r="BC45" t="s">
        <v>64</v>
      </c>
      <c r="BD45" t="s">
        <v>64</v>
      </c>
      <c r="BE45" t="s">
        <v>64</v>
      </c>
      <c r="BF45" t="s">
        <v>64</v>
      </c>
      <c r="BG45" t="s">
        <v>64</v>
      </c>
      <c r="BH45" t="s">
        <v>64</v>
      </c>
      <c r="BI45" t="s">
        <v>64</v>
      </c>
      <c r="BJ45" t="s">
        <v>64</v>
      </c>
    </row>
    <row r="46" spans="1:63" x14ac:dyDescent="0.25">
      <c r="A46" t="s">
        <v>115</v>
      </c>
      <c r="C46" s="1">
        <v>23033.53</v>
      </c>
      <c r="D46" s="1">
        <v>0</v>
      </c>
      <c r="E46" s="1"/>
      <c r="F46" s="1"/>
      <c r="G46" s="1"/>
      <c r="H46" s="1"/>
      <c r="I46" s="1"/>
      <c r="J46" s="1"/>
      <c r="K46" s="1"/>
      <c r="L46" s="1">
        <v>333.66</v>
      </c>
      <c r="M46" s="1">
        <v>1115.4000000000001</v>
      </c>
      <c r="N46" s="1">
        <v>2020.27</v>
      </c>
      <c r="O46" s="1">
        <v>2963.52</v>
      </c>
      <c r="P46" s="1">
        <v>3376.63</v>
      </c>
      <c r="Q46" s="1">
        <v>2919.27</v>
      </c>
      <c r="R46" s="1">
        <v>2602.16</v>
      </c>
      <c r="S46" s="1">
        <v>2808.89</v>
      </c>
      <c r="T46" s="1">
        <v>2593.83</v>
      </c>
      <c r="U46" s="1">
        <v>1548.22</v>
      </c>
      <c r="V46" s="1">
        <v>693.24</v>
      </c>
      <c r="W46" s="1">
        <v>58.44</v>
      </c>
      <c r="X46" s="1">
        <v>0</v>
      </c>
      <c r="Y46" s="1">
        <v>0</v>
      </c>
      <c r="Z46" s="1">
        <v>0</v>
      </c>
      <c r="AA46" s="1">
        <v>0</v>
      </c>
      <c r="AB46" s="4" t="s">
        <v>115</v>
      </c>
      <c r="AE46" t="s">
        <v>64</v>
      </c>
      <c r="AF46">
        <v>0.76981999999999995</v>
      </c>
      <c r="AG46">
        <v>0.17244999999999999</v>
      </c>
      <c r="AH46">
        <v>-0.09</v>
      </c>
      <c r="AI46">
        <v>-0.11600000000000001</v>
      </c>
      <c r="AJ46" t="s">
        <v>64</v>
      </c>
      <c r="AK46" t="s">
        <v>64</v>
      </c>
      <c r="AL46" t="s">
        <v>64</v>
      </c>
      <c r="AM46" t="s">
        <v>64</v>
      </c>
      <c r="AN46" t="s">
        <v>64</v>
      </c>
      <c r="AO46" t="s">
        <v>64</v>
      </c>
      <c r="AP46" t="s">
        <v>64</v>
      </c>
      <c r="AQ46" t="s">
        <v>64</v>
      </c>
      <c r="AR46" t="s">
        <v>64</v>
      </c>
      <c r="AS46" t="s">
        <v>64</v>
      </c>
      <c r="AT46" t="s">
        <v>64</v>
      </c>
      <c r="AU46" t="s">
        <v>64</v>
      </c>
      <c r="AV46" t="s">
        <v>64</v>
      </c>
      <c r="AW46">
        <v>2.5000000000000001E-2</v>
      </c>
      <c r="AX46">
        <v>1.2999999999999999E-2</v>
      </c>
      <c r="AY46" t="s">
        <v>64</v>
      </c>
      <c r="AZ46" t="s">
        <v>64</v>
      </c>
      <c r="BA46" t="s">
        <v>64</v>
      </c>
      <c r="BB46" t="s">
        <v>64</v>
      </c>
      <c r="BC46" t="s">
        <v>64</v>
      </c>
      <c r="BD46" t="s">
        <v>64</v>
      </c>
      <c r="BE46" t="s">
        <v>64</v>
      </c>
      <c r="BF46" t="s">
        <v>64</v>
      </c>
      <c r="BG46" t="s">
        <v>64</v>
      </c>
      <c r="BH46" t="s">
        <v>64</v>
      </c>
      <c r="BI46" t="s">
        <v>64</v>
      </c>
      <c r="BJ46" t="s">
        <v>64</v>
      </c>
      <c r="BK46" t="s">
        <v>116</v>
      </c>
    </row>
    <row r="47" spans="1:63" x14ac:dyDescent="0.25">
      <c r="A47" t="s">
        <v>117</v>
      </c>
      <c r="C47" s="1">
        <v>22370.98</v>
      </c>
      <c r="D47" s="1">
        <v>261.37</v>
      </c>
      <c r="E47" s="1">
        <v>526.49</v>
      </c>
      <c r="F47" s="1">
        <v>538.9</v>
      </c>
      <c r="G47" s="1">
        <v>302.12</v>
      </c>
      <c r="H47" s="1">
        <v>625.63</v>
      </c>
      <c r="I47" s="1">
        <v>431.19</v>
      </c>
      <c r="J47" s="1">
        <v>677.85</v>
      </c>
      <c r="K47" s="1">
        <v>3128.83</v>
      </c>
      <c r="L47" s="1">
        <v>273.97000000000003</v>
      </c>
      <c r="M47" s="1">
        <v>3.95</v>
      </c>
      <c r="N47" s="1">
        <v>0</v>
      </c>
      <c r="O47" s="1"/>
      <c r="P47" s="1"/>
      <c r="Q47" s="1"/>
      <c r="R47" s="1">
        <v>18.18</v>
      </c>
      <c r="S47" s="1">
        <v>133.11000000000001</v>
      </c>
      <c r="T47" s="1">
        <v>349.27</v>
      </c>
      <c r="U47" s="1">
        <v>357.71</v>
      </c>
      <c r="V47" s="1">
        <v>2453.7800000000002</v>
      </c>
      <c r="W47" s="1">
        <v>4349.93</v>
      </c>
      <c r="X47" s="1">
        <v>4637</v>
      </c>
      <c r="Y47" s="1">
        <v>2959.45</v>
      </c>
      <c r="Z47" s="1">
        <v>256.73</v>
      </c>
      <c r="AA47" s="1">
        <v>85.52</v>
      </c>
      <c r="AB47" t="s">
        <v>117</v>
      </c>
      <c r="AE47">
        <v>0.04</v>
      </c>
      <c r="AF47">
        <v>-0.04</v>
      </c>
      <c r="AG47">
        <v>-0.05</v>
      </c>
      <c r="AH47" t="s">
        <v>64</v>
      </c>
      <c r="AI47">
        <v>-2.5000000000000001E-2</v>
      </c>
      <c r="AJ47" t="s">
        <v>64</v>
      </c>
      <c r="AK47">
        <v>0.04</v>
      </c>
      <c r="AL47">
        <v>0.04</v>
      </c>
      <c r="AM47">
        <v>0.04</v>
      </c>
      <c r="AN47">
        <v>0.04</v>
      </c>
      <c r="AO47">
        <v>0.04</v>
      </c>
      <c r="AP47">
        <v>0.04</v>
      </c>
      <c r="AQ47">
        <v>0.04</v>
      </c>
      <c r="AR47">
        <v>0.04</v>
      </c>
      <c r="AS47">
        <v>0.04</v>
      </c>
      <c r="AT47">
        <v>0.04</v>
      </c>
      <c r="AU47">
        <v>0.04</v>
      </c>
      <c r="AV47">
        <v>0.04</v>
      </c>
      <c r="AW47">
        <v>-0.05</v>
      </c>
      <c r="AX47">
        <v>-0.05</v>
      </c>
      <c r="AY47">
        <v>-0.08</v>
      </c>
      <c r="AZ47">
        <v>-5.1999999999999998E-2</v>
      </c>
      <c r="BA47">
        <v>-5.5E-2</v>
      </c>
      <c r="BB47">
        <v>-5.8999999999999997E-2</v>
      </c>
      <c r="BC47">
        <v>-0.1</v>
      </c>
      <c r="BD47">
        <v>6.8000000000000005E-2</v>
      </c>
      <c r="BE47">
        <v>0.12873999999999999</v>
      </c>
      <c r="BF47">
        <v>0.11</v>
      </c>
      <c r="BG47">
        <v>0.12</v>
      </c>
      <c r="BH47">
        <v>8.6999999999999994E-2</v>
      </c>
      <c r="BI47">
        <v>8.3299999999999999E-2</v>
      </c>
      <c r="BJ47">
        <v>9.6000000000000002E-2</v>
      </c>
    </row>
    <row r="48" spans="1:63" x14ac:dyDescent="0.25">
      <c r="A48" t="s">
        <v>118</v>
      </c>
      <c r="C48" s="1">
        <v>22056.9</v>
      </c>
      <c r="D48" s="1">
        <v>910.5</v>
      </c>
      <c r="E48" s="1">
        <v>1110.71</v>
      </c>
      <c r="F48" s="1">
        <v>981.72</v>
      </c>
      <c r="G48" s="1">
        <v>987.65</v>
      </c>
      <c r="H48" s="1">
        <v>935.87</v>
      </c>
      <c r="I48" s="1">
        <v>1262.8699999999999</v>
      </c>
      <c r="J48" s="1">
        <v>1203.46</v>
      </c>
      <c r="K48" s="1">
        <v>998.89</v>
      </c>
      <c r="L48" s="1">
        <v>663.6</v>
      </c>
      <c r="M48" s="1">
        <v>515.84</v>
      </c>
      <c r="N48" s="1">
        <v>231.61</v>
      </c>
      <c r="O48" s="1">
        <v>0.24</v>
      </c>
      <c r="P48" s="1">
        <v>0</v>
      </c>
      <c r="Q48" s="1"/>
      <c r="R48" s="1"/>
      <c r="S48" s="1">
        <v>366.22</v>
      </c>
      <c r="T48" s="1">
        <v>418.93</v>
      </c>
      <c r="U48" s="1">
        <v>647.69000000000005</v>
      </c>
      <c r="V48" s="1">
        <v>1209.3900000000001</v>
      </c>
      <c r="W48" s="1">
        <v>2127.71</v>
      </c>
      <c r="X48" s="1">
        <v>2105.86</v>
      </c>
      <c r="Y48" s="1">
        <v>2514.6</v>
      </c>
      <c r="Z48" s="1">
        <v>1771.55</v>
      </c>
      <c r="AA48" s="1">
        <v>1091.99</v>
      </c>
      <c r="AB48" t="s">
        <v>118</v>
      </c>
      <c r="AE48" t="s">
        <v>64</v>
      </c>
      <c r="AF48">
        <v>0.33700000000000002</v>
      </c>
      <c r="AG48">
        <v>-9.8000000000000004E-2</v>
      </c>
      <c r="AH48" t="s">
        <v>64</v>
      </c>
      <c r="AI48" t="s">
        <v>64</v>
      </c>
      <c r="AJ48" t="s">
        <v>64</v>
      </c>
      <c r="AK48" t="s">
        <v>64</v>
      </c>
      <c r="AL48" t="s">
        <v>64</v>
      </c>
      <c r="AM48" t="s">
        <v>64</v>
      </c>
      <c r="AN48">
        <v>0.01</v>
      </c>
      <c r="AO48" t="s">
        <v>64</v>
      </c>
      <c r="AP48" t="s">
        <v>64</v>
      </c>
      <c r="AQ48" t="s">
        <v>64</v>
      </c>
      <c r="AR48" t="s">
        <v>64</v>
      </c>
      <c r="AS48" t="s">
        <v>64</v>
      </c>
      <c r="AT48" t="s">
        <v>64</v>
      </c>
      <c r="AU48" t="s">
        <v>64</v>
      </c>
      <c r="AV48" t="s">
        <v>64</v>
      </c>
      <c r="AW48" t="s">
        <v>64</v>
      </c>
      <c r="AX48" t="s">
        <v>64</v>
      </c>
      <c r="AY48" t="s">
        <v>64</v>
      </c>
      <c r="AZ48" t="s">
        <v>64</v>
      </c>
      <c r="BA48" t="s">
        <v>64</v>
      </c>
      <c r="BB48" t="s">
        <v>64</v>
      </c>
      <c r="BC48" t="s">
        <v>64</v>
      </c>
      <c r="BD48" t="s">
        <v>64</v>
      </c>
      <c r="BE48" t="s">
        <v>64</v>
      </c>
      <c r="BF48" t="s">
        <v>64</v>
      </c>
      <c r="BG48" t="s">
        <v>64</v>
      </c>
      <c r="BH48" t="s">
        <v>64</v>
      </c>
      <c r="BI48" t="s">
        <v>64</v>
      </c>
      <c r="BJ48" t="s">
        <v>64</v>
      </c>
    </row>
    <row r="49" spans="1:63" x14ac:dyDescent="0.25">
      <c r="A49" t="s">
        <v>119</v>
      </c>
      <c r="C49" s="1">
        <v>21330.38</v>
      </c>
      <c r="D49" s="1">
        <v>113.87</v>
      </c>
      <c r="E49" s="1">
        <v>3.77</v>
      </c>
      <c r="F49" s="1">
        <v>146.43</v>
      </c>
      <c r="G49" s="1">
        <v>37.549999999999997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16.29</v>
      </c>
      <c r="N49" s="1">
        <v>393.46</v>
      </c>
      <c r="O49" s="1">
        <v>739.86</v>
      </c>
      <c r="P49" s="1">
        <v>957.48</v>
      </c>
      <c r="Q49" s="1">
        <v>1274.3</v>
      </c>
      <c r="R49" s="1">
        <v>1942.22</v>
      </c>
      <c r="S49" s="1">
        <v>2435.39</v>
      </c>
      <c r="T49" s="1">
        <v>3596.77</v>
      </c>
      <c r="U49" s="1">
        <v>3322.57</v>
      </c>
      <c r="V49" s="1">
        <v>3266.36</v>
      </c>
      <c r="W49" s="1">
        <v>1218.55</v>
      </c>
      <c r="X49" s="1">
        <v>631.1</v>
      </c>
      <c r="Y49" s="1">
        <v>475.07</v>
      </c>
      <c r="Z49" s="1">
        <v>449.24</v>
      </c>
      <c r="AA49" s="1">
        <v>310.10000000000002</v>
      </c>
      <c r="AB49" t="s">
        <v>119</v>
      </c>
      <c r="AE49" t="s">
        <v>64</v>
      </c>
      <c r="AF49" t="s">
        <v>64</v>
      </c>
      <c r="AG49" t="s">
        <v>64</v>
      </c>
      <c r="AH49" t="s">
        <v>64</v>
      </c>
      <c r="AI49" t="s">
        <v>64</v>
      </c>
      <c r="AJ49" t="s">
        <v>64</v>
      </c>
      <c r="AK49" t="s">
        <v>64</v>
      </c>
      <c r="AL49" t="s">
        <v>64</v>
      </c>
      <c r="AM49" t="s">
        <v>64</v>
      </c>
      <c r="AN49" t="s">
        <v>64</v>
      </c>
      <c r="AO49" t="s">
        <v>64</v>
      </c>
      <c r="AP49" t="s">
        <v>64</v>
      </c>
      <c r="AQ49" t="s">
        <v>64</v>
      </c>
      <c r="AR49" t="s">
        <v>64</v>
      </c>
      <c r="AS49" t="s">
        <v>64</v>
      </c>
      <c r="AT49" t="s">
        <v>64</v>
      </c>
      <c r="AU49" t="s">
        <v>64</v>
      </c>
      <c r="AV49" t="s">
        <v>64</v>
      </c>
      <c r="AW49">
        <v>0.15343000000000001</v>
      </c>
      <c r="AX49" t="s">
        <v>64</v>
      </c>
      <c r="AY49" t="s">
        <v>64</v>
      </c>
      <c r="AZ49" t="s">
        <v>64</v>
      </c>
      <c r="BA49" t="s">
        <v>64</v>
      </c>
      <c r="BB49">
        <v>-0.01</v>
      </c>
      <c r="BC49" t="s">
        <v>64</v>
      </c>
      <c r="BD49" t="s">
        <v>64</v>
      </c>
      <c r="BE49" t="s">
        <v>64</v>
      </c>
      <c r="BF49" t="s">
        <v>64</v>
      </c>
      <c r="BG49" t="s">
        <v>64</v>
      </c>
      <c r="BH49" t="s">
        <v>64</v>
      </c>
      <c r="BI49" t="s">
        <v>64</v>
      </c>
      <c r="BJ49" t="s">
        <v>64</v>
      </c>
      <c r="BK49" t="s">
        <v>120</v>
      </c>
    </row>
    <row r="50" spans="1:63" x14ac:dyDescent="0.25">
      <c r="A50" t="s">
        <v>121</v>
      </c>
      <c r="C50" s="1">
        <v>20889.84</v>
      </c>
      <c r="D50" s="1"/>
      <c r="E50" s="1"/>
      <c r="F50" s="1"/>
      <c r="G50" s="1"/>
      <c r="H50" s="1"/>
      <c r="I50" s="1"/>
      <c r="J50" s="1"/>
      <c r="K50" s="1"/>
      <c r="L50" s="1">
        <v>317.47000000000003</v>
      </c>
      <c r="M50" s="1">
        <v>2511.1799999999998</v>
      </c>
      <c r="N50" s="1">
        <v>3425.87</v>
      </c>
      <c r="O50" s="1">
        <v>3383.89</v>
      </c>
      <c r="P50" s="1">
        <v>3195.6</v>
      </c>
      <c r="Q50" s="1">
        <v>2827.63</v>
      </c>
      <c r="R50" s="1">
        <v>2197.21</v>
      </c>
      <c r="S50" s="1">
        <v>1730.95</v>
      </c>
      <c r="T50" s="1">
        <v>785.61</v>
      </c>
      <c r="U50" s="1">
        <v>394.73</v>
      </c>
      <c r="V50" s="1">
        <v>119.7</v>
      </c>
      <c r="W50" s="1">
        <v>0</v>
      </c>
      <c r="X50" s="1">
        <v>0</v>
      </c>
      <c r="Y50" s="1"/>
      <c r="Z50" s="1"/>
      <c r="AA50" s="1"/>
      <c r="AB50" t="s">
        <v>121</v>
      </c>
      <c r="AE50">
        <v>-0.01</v>
      </c>
      <c r="AF50">
        <v>-5.2999999999999999E-2</v>
      </c>
      <c r="AG50">
        <v>-5.6000000000000001E-2</v>
      </c>
      <c r="AH50">
        <v>-3.5000000000000003E-2</v>
      </c>
      <c r="AI50">
        <v>-4.3999999999999997E-2</v>
      </c>
      <c r="AJ50">
        <v>-3.9E-2</v>
      </c>
      <c r="AK50" t="s">
        <v>64</v>
      </c>
      <c r="AL50" t="s">
        <v>64</v>
      </c>
      <c r="AM50" t="s">
        <v>64</v>
      </c>
      <c r="AN50" t="s">
        <v>64</v>
      </c>
      <c r="AO50" t="s">
        <v>64</v>
      </c>
      <c r="AP50" t="s">
        <v>64</v>
      </c>
      <c r="AQ50" t="s">
        <v>64</v>
      </c>
      <c r="AR50" t="s">
        <v>64</v>
      </c>
      <c r="AS50" t="s">
        <v>64</v>
      </c>
      <c r="AT50" t="s">
        <v>64</v>
      </c>
      <c r="AU50" t="s">
        <v>64</v>
      </c>
      <c r="AV50" t="s">
        <v>64</v>
      </c>
      <c r="AW50">
        <v>-5.6000000000000001E-2</v>
      </c>
      <c r="AX50">
        <v>-5.6000000000000001E-2</v>
      </c>
      <c r="AY50">
        <v>-4.9000000000000002E-2</v>
      </c>
      <c r="AZ50">
        <v>-5.7000000000000002E-2</v>
      </c>
      <c r="BA50">
        <v>-5.6000000000000001E-2</v>
      </c>
      <c r="BB50">
        <v>-5.5E-2</v>
      </c>
      <c r="BC50">
        <v>-0.04</v>
      </c>
      <c r="BD50">
        <v>3.7999999999999999E-2</v>
      </c>
      <c r="BE50">
        <v>5.2999999999999999E-2</v>
      </c>
      <c r="BF50">
        <v>8.2000000000000003E-2</v>
      </c>
      <c r="BG50">
        <v>5.2999999999999999E-2</v>
      </c>
      <c r="BH50">
        <v>7.6999999999999999E-2</v>
      </c>
      <c r="BI50">
        <v>5.6000000000000001E-2</v>
      </c>
      <c r="BJ50">
        <v>5.2999999999999999E-2</v>
      </c>
    </row>
    <row r="51" spans="1:63" x14ac:dyDescent="0.25">
      <c r="A51" t="s">
        <v>122</v>
      </c>
      <c r="C51" s="1">
        <v>20645.72</v>
      </c>
      <c r="D51" s="1">
        <v>1099.23</v>
      </c>
      <c r="E51" s="1">
        <v>1401.06</v>
      </c>
      <c r="F51" s="1">
        <v>1751.5</v>
      </c>
      <c r="G51" s="1">
        <v>1826.9</v>
      </c>
      <c r="H51" s="1">
        <v>2151.59</v>
      </c>
      <c r="I51" s="1">
        <v>1942.22</v>
      </c>
      <c r="J51" s="1">
        <v>1414.12</v>
      </c>
      <c r="K51" s="1">
        <v>1533.12</v>
      </c>
      <c r="L51" s="1">
        <v>854.4</v>
      </c>
      <c r="M51" s="1">
        <v>112.26</v>
      </c>
      <c r="N51" s="1">
        <v>84.83</v>
      </c>
      <c r="O51" s="1">
        <v>55.38</v>
      </c>
      <c r="P51" s="1">
        <v>57.12</v>
      </c>
      <c r="Q51" s="1">
        <v>53.85</v>
      </c>
      <c r="R51" s="1">
        <v>92.8</v>
      </c>
      <c r="S51" s="1">
        <v>41.21</v>
      </c>
      <c r="T51" s="1">
        <v>131.4</v>
      </c>
      <c r="U51" s="1">
        <v>82.22</v>
      </c>
      <c r="V51" s="1">
        <v>151.13999999999999</v>
      </c>
      <c r="W51" s="1">
        <v>465.94</v>
      </c>
      <c r="X51" s="1">
        <v>997.42</v>
      </c>
      <c r="Y51" s="1">
        <v>1365.76</v>
      </c>
      <c r="Z51" s="1">
        <v>1634.32</v>
      </c>
      <c r="AA51" s="1">
        <v>1345.93</v>
      </c>
      <c r="AB51" t="s">
        <v>122</v>
      </c>
      <c r="AE51">
        <v>0.09</v>
      </c>
      <c r="AF51" t="s">
        <v>64</v>
      </c>
      <c r="AG51" t="s">
        <v>64</v>
      </c>
      <c r="AH51">
        <v>3.4000000000000002E-2</v>
      </c>
      <c r="AI51">
        <v>1.9E-2</v>
      </c>
      <c r="AJ51" t="s">
        <v>64</v>
      </c>
      <c r="AK51">
        <v>0.15659999999999999</v>
      </c>
      <c r="AL51">
        <v>0.13739999999999999</v>
      </c>
      <c r="AM51">
        <v>0.13</v>
      </c>
      <c r="AN51">
        <v>0.12</v>
      </c>
      <c r="AO51">
        <v>0.13800000000000001</v>
      </c>
      <c r="AP51">
        <v>0.13400000000000001</v>
      </c>
      <c r="AQ51">
        <v>0.158</v>
      </c>
      <c r="AR51">
        <v>0.13300000000000001</v>
      </c>
      <c r="AS51">
        <v>0.14299999999999999</v>
      </c>
      <c r="AT51">
        <v>0.14199999999999999</v>
      </c>
      <c r="AU51">
        <v>0.13700000000000001</v>
      </c>
      <c r="AV51">
        <v>0.14099999999999999</v>
      </c>
      <c r="AW51" t="s">
        <v>64</v>
      </c>
      <c r="AX51" t="s">
        <v>64</v>
      </c>
      <c r="AY51" t="s">
        <v>64</v>
      </c>
      <c r="AZ51" t="s">
        <v>64</v>
      </c>
      <c r="BA51" t="s">
        <v>64</v>
      </c>
      <c r="BB51" t="s">
        <v>64</v>
      </c>
      <c r="BC51">
        <v>-2.1999999999999999E-2</v>
      </c>
      <c r="BD51">
        <v>-2.5999999999999999E-2</v>
      </c>
      <c r="BE51">
        <v>-4.1000000000000002E-2</v>
      </c>
      <c r="BF51">
        <v>-4.8000000000000001E-2</v>
      </c>
      <c r="BG51">
        <v>-4.1000000000000002E-2</v>
      </c>
      <c r="BH51">
        <v>-4.5999999999999999E-2</v>
      </c>
      <c r="BI51">
        <v>-6.0999999999999999E-2</v>
      </c>
      <c r="BJ51">
        <v>-4.1000000000000002E-2</v>
      </c>
    </row>
    <row r="52" spans="1:63" x14ac:dyDescent="0.25">
      <c r="A52" t="s">
        <v>123</v>
      </c>
      <c r="C52" s="1">
        <v>18859.009999999998</v>
      </c>
      <c r="D52" s="1">
        <v>466.98</v>
      </c>
      <c r="E52" s="1">
        <v>629.39</v>
      </c>
      <c r="F52" s="1">
        <v>146.79</v>
      </c>
      <c r="G52" s="1">
        <v>97.33</v>
      </c>
      <c r="H52" s="1">
        <v>206.72</v>
      </c>
      <c r="I52" s="1">
        <v>117.15</v>
      </c>
      <c r="J52" s="1">
        <v>209.53</v>
      </c>
      <c r="K52" s="1">
        <v>448.5</v>
      </c>
      <c r="L52" s="1">
        <v>1802.06</v>
      </c>
      <c r="M52" s="1">
        <v>581.30999999999995</v>
      </c>
      <c r="N52" s="1">
        <v>1468.79</v>
      </c>
      <c r="O52" s="1">
        <v>2058.5700000000002</v>
      </c>
      <c r="P52" s="1">
        <v>1612.21</v>
      </c>
      <c r="Q52" s="1">
        <v>2116.11</v>
      </c>
      <c r="R52" s="1">
        <v>1945.01</v>
      </c>
      <c r="S52" s="1">
        <v>1794.97</v>
      </c>
      <c r="T52" s="1">
        <v>2086.8000000000002</v>
      </c>
      <c r="U52" s="1">
        <v>0</v>
      </c>
      <c r="V52" s="1">
        <v>0</v>
      </c>
      <c r="W52" s="1">
        <v>163.63999999999999</v>
      </c>
      <c r="X52" s="1">
        <v>169.94</v>
      </c>
      <c r="Y52" s="1">
        <v>237.13</v>
      </c>
      <c r="Z52" s="1">
        <v>266.81</v>
      </c>
      <c r="AA52" s="1">
        <v>233.27</v>
      </c>
      <c r="AB52" t="s">
        <v>123</v>
      </c>
      <c r="AE52" t="s">
        <v>64</v>
      </c>
      <c r="AF52" t="s">
        <v>64</v>
      </c>
      <c r="AG52" t="s">
        <v>64</v>
      </c>
      <c r="AH52" t="s">
        <v>64</v>
      </c>
      <c r="AI52" t="s">
        <v>64</v>
      </c>
      <c r="AJ52">
        <v>5.8999999999999997E-2</v>
      </c>
      <c r="AK52" t="s">
        <v>64</v>
      </c>
      <c r="AL52" t="s">
        <v>64</v>
      </c>
      <c r="AM52" t="s">
        <v>64</v>
      </c>
      <c r="AN52" t="s">
        <v>64</v>
      </c>
      <c r="AO52" t="s">
        <v>64</v>
      </c>
      <c r="AP52" t="s">
        <v>64</v>
      </c>
      <c r="AQ52" t="s">
        <v>64</v>
      </c>
      <c r="AR52" t="s">
        <v>64</v>
      </c>
      <c r="AS52" t="s">
        <v>64</v>
      </c>
      <c r="AT52" t="s">
        <v>64</v>
      </c>
      <c r="AU52" t="s">
        <v>64</v>
      </c>
      <c r="AV52" t="s">
        <v>64</v>
      </c>
      <c r="AW52" t="s">
        <v>64</v>
      </c>
      <c r="AX52" t="s">
        <v>64</v>
      </c>
      <c r="AY52" t="s">
        <v>64</v>
      </c>
      <c r="AZ52" t="s">
        <v>64</v>
      </c>
      <c r="BA52" t="s">
        <v>64</v>
      </c>
      <c r="BB52" t="s">
        <v>64</v>
      </c>
      <c r="BC52" t="s">
        <v>64</v>
      </c>
      <c r="BD52" t="s">
        <v>64</v>
      </c>
      <c r="BE52" t="s">
        <v>64</v>
      </c>
      <c r="BF52" t="s">
        <v>64</v>
      </c>
      <c r="BG52" t="s">
        <v>64</v>
      </c>
      <c r="BH52" t="s">
        <v>64</v>
      </c>
      <c r="BI52" t="s">
        <v>64</v>
      </c>
      <c r="BJ52" t="s">
        <v>64</v>
      </c>
      <c r="BK52" t="s">
        <v>124</v>
      </c>
    </row>
    <row r="53" spans="1:63" x14ac:dyDescent="0.25">
      <c r="A53" t="s">
        <v>125</v>
      </c>
      <c r="C53" s="1">
        <v>18780.080000000002</v>
      </c>
      <c r="D53" s="1">
        <v>838.61</v>
      </c>
      <c r="E53" s="1">
        <v>708.63</v>
      </c>
      <c r="F53" s="1">
        <v>866.54</v>
      </c>
      <c r="G53" s="1">
        <v>1018.41</v>
      </c>
      <c r="H53" s="1">
        <v>1120.3900000000001</v>
      </c>
      <c r="I53" s="1">
        <v>1514.25</v>
      </c>
      <c r="J53" s="1">
        <v>1695.8</v>
      </c>
      <c r="K53" s="1">
        <v>998.7</v>
      </c>
      <c r="L53" s="1">
        <v>986.58</v>
      </c>
      <c r="M53" s="1">
        <v>974.57</v>
      </c>
      <c r="N53" s="1">
        <v>418.53</v>
      </c>
      <c r="O53" s="1">
        <v>462.55</v>
      </c>
      <c r="P53" s="1">
        <v>425.85</v>
      </c>
      <c r="Q53" s="1">
        <v>511.04</v>
      </c>
      <c r="R53" s="1">
        <v>689.88</v>
      </c>
      <c r="S53" s="1">
        <v>584.12</v>
      </c>
      <c r="T53" s="1">
        <v>1013.98</v>
      </c>
      <c r="U53" s="1">
        <v>419.11</v>
      </c>
      <c r="V53" s="1">
        <v>329.65</v>
      </c>
      <c r="W53" s="1">
        <v>344.62</v>
      </c>
      <c r="X53" s="1">
        <v>809.24</v>
      </c>
      <c r="Y53" s="1">
        <v>772.81</v>
      </c>
      <c r="Z53" s="1">
        <v>675.08</v>
      </c>
      <c r="AA53" s="1">
        <v>601.14</v>
      </c>
      <c r="AB53" t="s">
        <v>125</v>
      </c>
      <c r="AE53">
        <v>-0.03</v>
      </c>
      <c r="AF53">
        <v>0.01</v>
      </c>
      <c r="AG53">
        <v>1.4999999999999999E-2</v>
      </c>
      <c r="AH53" t="s">
        <v>64</v>
      </c>
      <c r="AI53">
        <v>0.01</v>
      </c>
      <c r="AJ53">
        <v>-0.5</v>
      </c>
      <c r="AK53">
        <v>-0.02</v>
      </c>
      <c r="AL53">
        <v>-0.02</v>
      </c>
      <c r="AM53">
        <v>-0.02</v>
      </c>
      <c r="AN53">
        <v>-0.02</v>
      </c>
      <c r="AO53">
        <v>-0.02</v>
      </c>
      <c r="AP53">
        <v>-0.02</v>
      </c>
      <c r="AQ53">
        <v>-0.02</v>
      </c>
      <c r="AR53">
        <v>-0.02</v>
      </c>
      <c r="AS53">
        <v>-0.02</v>
      </c>
      <c r="AT53">
        <v>-0.02</v>
      </c>
      <c r="AU53">
        <v>-0.02</v>
      </c>
      <c r="AV53">
        <v>-0.02</v>
      </c>
      <c r="AW53">
        <v>1.4999999999999999E-2</v>
      </c>
      <c r="AX53">
        <v>1.4999999999999999E-2</v>
      </c>
      <c r="AY53">
        <v>1.4999999999999999E-2</v>
      </c>
      <c r="AZ53">
        <v>1.4999999999999999E-2</v>
      </c>
      <c r="BA53">
        <v>1.4999999999999999E-2</v>
      </c>
      <c r="BB53">
        <v>1.4999999999999999E-2</v>
      </c>
      <c r="BC53" t="s">
        <v>64</v>
      </c>
      <c r="BD53">
        <v>-1.2999999999999999E-2</v>
      </c>
      <c r="BE53" t="s">
        <v>64</v>
      </c>
      <c r="BF53" t="s">
        <v>64</v>
      </c>
      <c r="BG53" t="s">
        <v>64</v>
      </c>
      <c r="BH53" t="s">
        <v>64</v>
      </c>
      <c r="BI53">
        <v>-0.01</v>
      </c>
      <c r="BJ53" t="s">
        <v>64</v>
      </c>
      <c r="BK53" t="s">
        <v>126</v>
      </c>
    </row>
    <row r="54" spans="1:63" x14ac:dyDescent="0.25">
      <c r="A54" t="s">
        <v>127</v>
      </c>
      <c r="C54" s="1">
        <v>18278.189999999999</v>
      </c>
      <c r="D54" s="1">
        <v>184.3</v>
      </c>
      <c r="E54" s="1">
        <v>145.59</v>
      </c>
      <c r="F54" s="1">
        <v>123.73</v>
      </c>
      <c r="G54" s="1">
        <v>127</v>
      </c>
      <c r="H54" s="1">
        <v>33.79</v>
      </c>
      <c r="I54" s="1">
        <v>73.400000000000006</v>
      </c>
      <c r="J54" s="1">
        <v>147.31</v>
      </c>
      <c r="K54" s="1">
        <v>100.89</v>
      </c>
      <c r="L54" s="1">
        <v>17.41</v>
      </c>
      <c r="M54" s="1">
        <v>171.62</v>
      </c>
      <c r="N54" s="1">
        <v>276.95</v>
      </c>
      <c r="O54" s="1">
        <v>617.72</v>
      </c>
      <c r="P54" s="1">
        <v>1018.32</v>
      </c>
      <c r="Q54" s="1">
        <v>1359.94</v>
      </c>
      <c r="R54" s="1">
        <v>1815.76</v>
      </c>
      <c r="S54" s="1">
        <v>2318.5300000000002</v>
      </c>
      <c r="T54" s="1">
        <v>3327.37</v>
      </c>
      <c r="U54" s="1">
        <v>2557.19</v>
      </c>
      <c r="V54" s="1">
        <v>1668.52</v>
      </c>
      <c r="W54" s="1">
        <v>1087.54</v>
      </c>
      <c r="X54" s="1">
        <v>314.60000000000002</v>
      </c>
      <c r="Y54" s="1">
        <v>320.98</v>
      </c>
      <c r="Z54" s="1">
        <v>258.74</v>
      </c>
      <c r="AA54" s="1">
        <v>210.99</v>
      </c>
      <c r="AB54" t="s">
        <v>127</v>
      </c>
      <c r="AE54" t="s">
        <v>64</v>
      </c>
      <c r="AF54">
        <v>1.2E-2</v>
      </c>
      <c r="AG54">
        <v>1.6E-2</v>
      </c>
      <c r="AH54" t="s">
        <v>64</v>
      </c>
      <c r="AI54" t="s">
        <v>64</v>
      </c>
      <c r="AJ54">
        <v>0.39251999999999998</v>
      </c>
      <c r="AK54">
        <v>-3.5000000000000003E-2</v>
      </c>
      <c r="AL54">
        <v>-3.5000000000000003E-2</v>
      </c>
      <c r="AM54">
        <v>-3.5000000000000003E-2</v>
      </c>
      <c r="AN54">
        <v>-3.5000000000000003E-2</v>
      </c>
      <c r="AO54">
        <v>-3.5000000000000003E-2</v>
      </c>
      <c r="AP54">
        <v>-3.5000000000000003E-2</v>
      </c>
      <c r="AQ54">
        <v>-3.5000000000000003E-2</v>
      </c>
      <c r="AR54">
        <v>-3.5000000000000003E-2</v>
      </c>
      <c r="AS54">
        <v>-3.5000000000000003E-2</v>
      </c>
      <c r="AT54">
        <v>-3.5000000000000003E-2</v>
      </c>
      <c r="AU54">
        <v>-3.5000000000000003E-2</v>
      </c>
      <c r="AV54">
        <v>-3.5000000000000003E-2</v>
      </c>
      <c r="AW54" t="s">
        <v>64</v>
      </c>
      <c r="AX54" t="s">
        <v>64</v>
      </c>
      <c r="AY54" t="s">
        <v>64</v>
      </c>
      <c r="AZ54" t="s">
        <v>64</v>
      </c>
      <c r="BA54" t="s">
        <v>64</v>
      </c>
      <c r="BB54" t="s">
        <v>64</v>
      </c>
      <c r="BC54" t="s">
        <v>64</v>
      </c>
      <c r="BD54" t="s">
        <v>64</v>
      </c>
      <c r="BE54" t="s">
        <v>64</v>
      </c>
      <c r="BF54" t="s">
        <v>64</v>
      </c>
      <c r="BG54" t="s">
        <v>64</v>
      </c>
      <c r="BH54" t="s">
        <v>64</v>
      </c>
      <c r="BI54" t="s">
        <v>64</v>
      </c>
      <c r="BJ54" t="s">
        <v>64</v>
      </c>
      <c r="BK54" t="s">
        <v>128</v>
      </c>
    </row>
    <row r="55" spans="1:63" x14ac:dyDescent="0.25">
      <c r="A55" t="s">
        <v>129</v>
      </c>
      <c r="C55" s="1">
        <v>18172.47</v>
      </c>
      <c r="D55" s="1">
        <v>0</v>
      </c>
      <c r="E55" s="1">
        <v>0</v>
      </c>
      <c r="F55" s="1">
        <v>0</v>
      </c>
      <c r="G55" s="1"/>
      <c r="H55" s="1"/>
      <c r="I55" s="1">
        <v>0</v>
      </c>
      <c r="J55" s="1">
        <v>0</v>
      </c>
      <c r="K55" s="1">
        <v>5.08</v>
      </c>
      <c r="L55" s="1">
        <v>108.39</v>
      </c>
      <c r="M55" s="1">
        <v>337.07</v>
      </c>
      <c r="N55" s="1">
        <v>644.84</v>
      </c>
      <c r="O55" s="1">
        <v>1512.03</v>
      </c>
      <c r="P55" s="1">
        <v>2162.1</v>
      </c>
      <c r="Q55" s="1">
        <v>2953.72</v>
      </c>
      <c r="R55" s="1">
        <v>2648.96</v>
      </c>
      <c r="S55" s="1">
        <v>3552.94</v>
      </c>
      <c r="T55" s="1">
        <v>2252.6</v>
      </c>
      <c r="U55" s="1">
        <v>1621.71</v>
      </c>
      <c r="V55" s="1">
        <v>368.74</v>
      </c>
      <c r="W55" s="1">
        <v>4.29</v>
      </c>
      <c r="X55" s="1">
        <v>0</v>
      </c>
      <c r="Y55" s="1">
        <v>0</v>
      </c>
      <c r="Z55" s="1">
        <v>0</v>
      </c>
      <c r="AA55" s="1">
        <v>0</v>
      </c>
      <c r="AB55" t="s">
        <v>129</v>
      </c>
      <c r="AE55">
        <v>-2.1999999999999999E-2</v>
      </c>
      <c r="AF55">
        <v>-6.2E-2</v>
      </c>
      <c r="AG55">
        <v>-6.7000000000000004E-2</v>
      </c>
      <c r="AH55">
        <v>-4.3999999999999997E-2</v>
      </c>
      <c r="AI55">
        <v>-0.05</v>
      </c>
      <c r="AJ55">
        <v>-3.2000000000000001E-2</v>
      </c>
      <c r="AK55">
        <v>-1.7999999999999999E-2</v>
      </c>
      <c r="AL55">
        <v>-1.9E-2</v>
      </c>
      <c r="AM55">
        <v>-1.9E-2</v>
      </c>
      <c r="AN55">
        <v>-0.02</v>
      </c>
      <c r="AO55">
        <v>-1.9E-2</v>
      </c>
      <c r="AP55">
        <v>-1.9E-2</v>
      </c>
      <c r="AQ55">
        <v>-1.9E-2</v>
      </c>
      <c r="AR55">
        <v>-1.9E-2</v>
      </c>
      <c r="AS55">
        <v>-1.9E-2</v>
      </c>
      <c r="AT55">
        <v>-1.9E-2</v>
      </c>
      <c r="AU55">
        <v>-1.9E-2</v>
      </c>
      <c r="AV55">
        <v>-1.9E-2</v>
      </c>
      <c r="AW55">
        <v>-0.1</v>
      </c>
      <c r="AX55">
        <v>-7.4999999999999997E-2</v>
      </c>
      <c r="AY55">
        <v>-9.1999999999999998E-2</v>
      </c>
      <c r="AZ55">
        <v>-6.8000000000000005E-2</v>
      </c>
      <c r="BA55">
        <v>-7.1999999999999995E-2</v>
      </c>
      <c r="BB55">
        <v>-7.9000000000000001E-2</v>
      </c>
      <c r="BC55">
        <v>0.11799999999999999</v>
      </c>
      <c r="BD55">
        <v>-0.01</v>
      </c>
      <c r="BE55" t="s">
        <v>64</v>
      </c>
      <c r="BF55" t="s">
        <v>64</v>
      </c>
      <c r="BG55" t="s">
        <v>64</v>
      </c>
      <c r="BH55" t="s">
        <v>64</v>
      </c>
      <c r="BI55" t="s">
        <v>64</v>
      </c>
      <c r="BJ55" t="s">
        <v>64</v>
      </c>
    </row>
    <row r="56" spans="1:63" x14ac:dyDescent="0.25">
      <c r="A56" t="s">
        <v>130</v>
      </c>
      <c r="C56" s="1">
        <v>16830.009999999998</v>
      </c>
      <c r="D56" s="1">
        <v>1803.28</v>
      </c>
      <c r="E56" s="1">
        <v>2068.62</v>
      </c>
      <c r="F56" s="1">
        <v>1435.8</v>
      </c>
      <c r="G56" s="1">
        <v>436.1</v>
      </c>
      <c r="H56" s="1">
        <v>0</v>
      </c>
      <c r="I56" s="1">
        <v>0</v>
      </c>
      <c r="J56" s="1">
        <v>71.38</v>
      </c>
      <c r="K56" s="1">
        <v>119.43</v>
      </c>
      <c r="L56" s="1">
        <v>850.06</v>
      </c>
      <c r="M56" s="1">
        <v>349.37</v>
      </c>
      <c r="N56" s="1">
        <v>305.83</v>
      </c>
      <c r="O56" s="1">
        <v>304.20999999999998</v>
      </c>
      <c r="P56" s="1">
        <v>317.75</v>
      </c>
      <c r="Q56" s="1">
        <v>280.89999999999998</v>
      </c>
      <c r="R56" s="1">
        <v>110.61</v>
      </c>
      <c r="S56" s="1">
        <v>4.34</v>
      </c>
      <c r="T56" s="1">
        <v>0</v>
      </c>
      <c r="U56" s="1">
        <v>600.24</v>
      </c>
      <c r="V56" s="1">
        <v>1425.19</v>
      </c>
      <c r="W56" s="1">
        <v>0</v>
      </c>
      <c r="X56" s="1">
        <v>1014.02</v>
      </c>
      <c r="Y56" s="1">
        <v>2424.36</v>
      </c>
      <c r="Z56" s="1">
        <v>1368.12</v>
      </c>
      <c r="AA56" s="1">
        <v>1540.4</v>
      </c>
      <c r="AB56" t="s">
        <v>130</v>
      </c>
      <c r="AE56" t="s">
        <v>64</v>
      </c>
      <c r="AF56" t="s">
        <v>64</v>
      </c>
      <c r="AG56" t="s">
        <v>64</v>
      </c>
      <c r="AH56" t="s">
        <v>64</v>
      </c>
      <c r="AI56" t="s">
        <v>64</v>
      </c>
      <c r="AJ56" t="s">
        <v>64</v>
      </c>
      <c r="AK56" t="s">
        <v>64</v>
      </c>
      <c r="AL56" t="s">
        <v>64</v>
      </c>
      <c r="AM56" t="s">
        <v>64</v>
      </c>
      <c r="AN56" t="s">
        <v>64</v>
      </c>
      <c r="AO56" t="s">
        <v>64</v>
      </c>
      <c r="AP56" t="s">
        <v>64</v>
      </c>
      <c r="AQ56" t="s">
        <v>64</v>
      </c>
      <c r="AR56" t="s">
        <v>64</v>
      </c>
      <c r="AS56" t="s">
        <v>64</v>
      </c>
      <c r="AT56" t="s">
        <v>64</v>
      </c>
      <c r="AU56" t="s">
        <v>64</v>
      </c>
      <c r="AV56" t="s">
        <v>64</v>
      </c>
      <c r="AW56" t="s">
        <v>64</v>
      </c>
      <c r="AX56" t="s">
        <v>64</v>
      </c>
      <c r="AY56" t="s">
        <v>64</v>
      </c>
      <c r="AZ56" t="s">
        <v>64</v>
      </c>
      <c r="BA56" t="s">
        <v>64</v>
      </c>
      <c r="BB56" t="s">
        <v>64</v>
      </c>
      <c r="BC56" t="s">
        <v>64</v>
      </c>
      <c r="BD56">
        <v>0.06</v>
      </c>
      <c r="BE56" t="s">
        <v>64</v>
      </c>
      <c r="BF56" t="s">
        <v>64</v>
      </c>
      <c r="BG56" t="s">
        <v>64</v>
      </c>
      <c r="BH56">
        <v>0.13600000000000001</v>
      </c>
      <c r="BI56">
        <v>1.6E-2</v>
      </c>
      <c r="BJ56" t="s">
        <v>64</v>
      </c>
    </row>
    <row r="57" spans="1:63" x14ac:dyDescent="0.25">
      <c r="A57" t="s">
        <v>131</v>
      </c>
      <c r="C57" s="1">
        <v>16376.64</v>
      </c>
      <c r="D57" s="1">
        <v>0</v>
      </c>
      <c r="E57" s="1">
        <v>0</v>
      </c>
      <c r="F57" s="1"/>
      <c r="G57" s="1"/>
      <c r="H57" s="1"/>
      <c r="I57" s="1"/>
      <c r="J57" s="1"/>
      <c r="K57" s="1"/>
      <c r="L57" s="1"/>
      <c r="M57" s="1"/>
      <c r="N57" s="1">
        <v>132.35</v>
      </c>
      <c r="O57" s="1">
        <v>299.2</v>
      </c>
      <c r="P57" s="1">
        <v>530.82000000000005</v>
      </c>
      <c r="Q57" s="1">
        <v>888.61</v>
      </c>
      <c r="R57" s="1">
        <v>1066.58</v>
      </c>
      <c r="S57" s="1">
        <v>1942</v>
      </c>
      <c r="T57" s="1">
        <v>3534.94</v>
      </c>
      <c r="U57" s="1">
        <v>4167.8100000000004</v>
      </c>
      <c r="V57" s="1">
        <v>2881.25</v>
      </c>
      <c r="W57" s="1">
        <v>884.23</v>
      </c>
      <c r="X57" s="1">
        <v>48.85</v>
      </c>
      <c r="Y57" s="1">
        <v>0</v>
      </c>
      <c r="Z57" s="1">
        <v>0</v>
      </c>
      <c r="AA57" s="1">
        <v>0</v>
      </c>
      <c r="AB57" t="s">
        <v>131</v>
      </c>
      <c r="AE57" t="s">
        <v>64</v>
      </c>
      <c r="AF57" t="s">
        <v>64</v>
      </c>
      <c r="AG57">
        <v>1.2E-2</v>
      </c>
      <c r="AH57" t="s">
        <v>64</v>
      </c>
      <c r="AI57" t="s">
        <v>64</v>
      </c>
      <c r="AJ57" t="s">
        <v>64</v>
      </c>
      <c r="AK57" t="s">
        <v>64</v>
      </c>
      <c r="AL57" t="s">
        <v>64</v>
      </c>
      <c r="AM57" t="s">
        <v>64</v>
      </c>
      <c r="AN57" t="s">
        <v>64</v>
      </c>
      <c r="AO57" t="s">
        <v>64</v>
      </c>
      <c r="AP57" t="s">
        <v>64</v>
      </c>
      <c r="AQ57" t="s">
        <v>64</v>
      </c>
      <c r="AR57" t="s">
        <v>64</v>
      </c>
      <c r="AS57" t="s">
        <v>64</v>
      </c>
      <c r="AT57" t="s">
        <v>64</v>
      </c>
      <c r="AU57" t="s">
        <v>64</v>
      </c>
      <c r="AV57" t="s">
        <v>64</v>
      </c>
      <c r="AW57">
        <v>0.1976</v>
      </c>
      <c r="AX57">
        <v>4.7E-2</v>
      </c>
      <c r="AY57" t="s">
        <v>64</v>
      </c>
      <c r="AZ57" t="s">
        <v>64</v>
      </c>
      <c r="BA57" t="s">
        <v>64</v>
      </c>
      <c r="BB57" t="s">
        <v>64</v>
      </c>
      <c r="BC57" t="s">
        <v>64</v>
      </c>
      <c r="BD57" t="s">
        <v>64</v>
      </c>
      <c r="BE57" t="s">
        <v>64</v>
      </c>
      <c r="BF57" t="s">
        <v>64</v>
      </c>
      <c r="BG57" t="s">
        <v>64</v>
      </c>
      <c r="BH57" t="s">
        <v>64</v>
      </c>
      <c r="BI57" t="s">
        <v>64</v>
      </c>
      <c r="BJ57" t="s">
        <v>64</v>
      </c>
      <c r="BK57" t="s">
        <v>132</v>
      </c>
    </row>
    <row r="58" spans="1:63" x14ac:dyDescent="0.25">
      <c r="A58" t="s">
        <v>133</v>
      </c>
      <c r="C58" s="1">
        <v>15943.21</v>
      </c>
      <c r="D58" s="1">
        <v>491.69</v>
      </c>
      <c r="E58" s="1">
        <v>349.46</v>
      </c>
      <c r="F58" s="1">
        <v>336.38</v>
      </c>
      <c r="G58" s="1">
        <v>436.87</v>
      </c>
      <c r="H58" s="1">
        <v>354.78</v>
      </c>
      <c r="I58" s="1">
        <v>299.70999999999998</v>
      </c>
      <c r="J58" s="1">
        <v>237</v>
      </c>
      <c r="K58" s="1">
        <v>422.32</v>
      </c>
      <c r="L58" s="1">
        <v>489.3</v>
      </c>
      <c r="M58" s="1">
        <v>620.30999999999995</v>
      </c>
      <c r="N58" s="1">
        <v>482.48</v>
      </c>
      <c r="O58" s="1">
        <v>771.43</v>
      </c>
      <c r="P58" s="1">
        <v>749.78</v>
      </c>
      <c r="Q58" s="1">
        <v>707.89</v>
      </c>
      <c r="R58" s="1">
        <v>756.73</v>
      </c>
      <c r="S58" s="1">
        <v>1006.51</v>
      </c>
      <c r="T58" s="1">
        <v>1172.48</v>
      </c>
      <c r="U58" s="1">
        <v>976.68</v>
      </c>
      <c r="V58" s="1">
        <v>888.63</v>
      </c>
      <c r="W58" s="1">
        <v>1162.49</v>
      </c>
      <c r="X58" s="1">
        <v>1101.57</v>
      </c>
      <c r="Y58" s="1">
        <v>992.08</v>
      </c>
      <c r="Z58" s="1">
        <v>555.19000000000005</v>
      </c>
      <c r="AA58" s="1">
        <v>581.45000000000005</v>
      </c>
      <c r="AB58" t="s">
        <v>133</v>
      </c>
      <c r="AE58">
        <v>-3.5000000000000003E-2</v>
      </c>
      <c r="AF58">
        <v>7.1999999999999995E-2</v>
      </c>
      <c r="AG58">
        <v>3.4000000000000002E-2</v>
      </c>
      <c r="AH58">
        <v>-0.56000000000000005</v>
      </c>
      <c r="AI58">
        <v>0.19611999999999999</v>
      </c>
      <c r="AJ58" t="s">
        <v>64</v>
      </c>
      <c r="AK58">
        <v>-1.4999999999999999E-2</v>
      </c>
      <c r="AL58">
        <v>-1.6E-2</v>
      </c>
      <c r="AM58">
        <v>-1.6E-2</v>
      </c>
      <c r="AN58">
        <v>-1.7999999999999999E-2</v>
      </c>
      <c r="AO58">
        <v>-1.6E-2</v>
      </c>
      <c r="AP58">
        <v>-1.6E-2</v>
      </c>
      <c r="AQ58">
        <v>-1.2999999999999999E-2</v>
      </c>
      <c r="AR58">
        <v>-1.9E-2</v>
      </c>
      <c r="AS58">
        <v>-1.4999999999999999E-2</v>
      </c>
      <c r="AT58">
        <v>-1.6E-2</v>
      </c>
      <c r="AU58">
        <v>-1.6E-2</v>
      </c>
      <c r="AV58">
        <v>-1.6E-2</v>
      </c>
      <c r="AW58">
        <v>1.7999999999999999E-2</v>
      </c>
      <c r="AX58">
        <v>1.7999999999999999E-2</v>
      </c>
      <c r="AY58" t="s">
        <v>64</v>
      </c>
      <c r="AZ58">
        <v>1.7000000000000001E-2</v>
      </c>
      <c r="BA58">
        <v>1.7999999999999999E-2</v>
      </c>
      <c r="BB58">
        <v>1.4999999999999999E-2</v>
      </c>
      <c r="BC58" t="s">
        <v>64</v>
      </c>
      <c r="BD58" t="s">
        <v>64</v>
      </c>
      <c r="BE58" t="s">
        <v>64</v>
      </c>
      <c r="BF58" t="s">
        <v>64</v>
      </c>
      <c r="BG58" t="s">
        <v>64</v>
      </c>
      <c r="BH58" t="s">
        <v>64</v>
      </c>
      <c r="BI58" t="s">
        <v>64</v>
      </c>
      <c r="BJ58" t="s">
        <v>64</v>
      </c>
    </row>
    <row r="59" spans="1:63" x14ac:dyDescent="0.25">
      <c r="A59" t="s">
        <v>134</v>
      </c>
      <c r="C59" s="1">
        <v>15846.42</v>
      </c>
      <c r="D59" s="1">
        <v>15.99</v>
      </c>
      <c r="E59" s="1">
        <v>0</v>
      </c>
      <c r="F59" s="1">
        <v>0</v>
      </c>
      <c r="G59" s="1">
        <v>0</v>
      </c>
      <c r="H59" s="1"/>
      <c r="I59" s="1"/>
      <c r="J59" s="1">
        <v>69.680000000000007</v>
      </c>
      <c r="K59" s="1">
        <v>95.54</v>
      </c>
      <c r="L59" s="1">
        <v>0</v>
      </c>
      <c r="M59" s="1">
        <v>0</v>
      </c>
      <c r="N59" s="1"/>
      <c r="O59" s="1">
        <v>8.66</v>
      </c>
      <c r="P59" s="1">
        <v>497.14</v>
      </c>
      <c r="Q59" s="1">
        <v>797.25</v>
      </c>
      <c r="R59" s="1">
        <v>1456.82</v>
      </c>
      <c r="S59" s="1">
        <v>1082.69</v>
      </c>
      <c r="T59" s="1">
        <v>1979.92</v>
      </c>
      <c r="U59" s="1">
        <v>1617.6</v>
      </c>
      <c r="V59" s="1">
        <v>2933.45</v>
      </c>
      <c r="W59" s="1">
        <v>3053.98</v>
      </c>
      <c r="X59" s="1">
        <v>1349.65</v>
      </c>
      <c r="Y59" s="1">
        <v>718.27</v>
      </c>
      <c r="Z59" s="1">
        <v>155.53</v>
      </c>
      <c r="AA59" s="1">
        <v>14.25</v>
      </c>
      <c r="AB59" t="s">
        <v>134</v>
      </c>
      <c r="AE59" t="s">
        <v>64</v>
      </c>
      <c r="AF59" t="s">
        <v>64</v>
      </c>
      <c r="AG59" t="s">
        <v>64</v>
      </c>
      <c r="AH59" t="s">
        <v>64</v>
      </c>
      <c r="AI59" t="s">
        <v>64</v>
      </c>
      <c r="AJ59" t="s">
        <v>64</v>
      </c>
      <c r="AK59" t="s">
        <v>64</v>
      </c>
      <c r="AL59" t="s">
        <v>64</v>
      </c>
      <c r="AM59" t="s">
        <v>64</v>
      </c>
      <c r="AN59" t="s">
        <v>64</v>
      </c>
      <c r="AO59" t="s">
        <v>64</v>
      </c>
      <c r="AP59" t="s">
        <v>64</v>
      </c>
      <c r="AQ59" t="s">
        <v>64</v>
      </c>
      <c r="AR59" t="s">
        <v>64</v>
      </c>
      <c r="AS59" t="s">
        <v>64</v>
      </c>
      <c r="AT59" t="s">
        <v>64</v>
      </c>
      <c r="AU59" t="s">
        <v>64</v>
      </c>
      <c r="AV59" t="s">
        <v>64</v>
      </c>
      <c r="AW59" t="s">
        <v>64</v>
      </c>
      <c r="AX59" t="s">
        <v>64</v>
      </c>
      <c r="AY59" t="s">
        <v>64</v>
      </c>
      <c r="AZ59" t="s">
        <v>64</v>
      </c>
      <c r="BA59" t="s">
        <v>64</v>
      </c>
      <c r="BB59" t="s">
        <v>64</v>
      </c>
      <c r="BC59" t="s">
        <v>64</v>
      </c>
      <c r="BD59" t="s">
        <v>64</v>
      </c>
      <c r="BE59">
        <v>-0.05</v>
      </c>
      <c r="BF59">
        <v>-4.4999999999999998E-2</v>
      </c>
      <c r="BG59">
        <v>-0.05</v>
      </c>
      <c r="BH59" t="s">
        <v>64</v>
      </c>
      <c r="BI59" t="s">
        <v>64</v>
      </c>
      <c r="BJ59">
        <v>-0.05</v>
      </c>
    </row>
    <row r="60" spans="1:63" x14ac:dyDescent="0.25">
      <c r="A60" t="s">
        <v>135</v>
      </c>
      <c r="C60" s="1">
        <v>14861.86</v>
      </c>
      <c r="D60" s="1">
        <v>4.5</v>
      </c>
      <c r="E60" s="1">
        <v>1.31</v>
      </c>
      <c r="F60" s="1">
        <v>1.9</v>
      </c>
      <c r="G60" s="1">
        <v>0</v>
      </c>
      <c r="H60" s="1">
        <v>405.43</v>
      </c>
      <c r="I60" s="1">
        <v>13.12</v>
      </c>
      <c r="J60" s="1">
        <v>0</v>
      </c>
      <c r="K60" s="1">
        <v>0</v>
      </c>
      <c r="L60" s="1">
        <v>0</v>
      </c>
      <c r="M60" s="1">
        <v>18.68</v>
      </c>
      <c r="N60" s="1">
        <v>72.17</v>
      </c>
      <c r="O60" s="1">
        <v>128.38</v>
      </c>
      <c r="P60" s="1">
        <v>434.43</v>
      </c>
      <c r="Q60" s="1">
        <v>1025.0899999999999</v>
      </c>
      <c r="R60" s="1">
        <v>1775.1</v>
      </c>
      <c r="S60" s="1">
        <v>2729.23</v>
      </c>
      <c r="T60" s="1">
        <v>3263.9</v>
      </c>
      <c r="U60" s="1">
        <v>3193.1</v>
      </c>
      <c r="V60" s="1">
        <v>1504.84</v>
      </c>
      <c r="W60" s="1">
        <v>274.5</v>
      </c>
      <c r="X60" s="1">
        <v>10.53</v>
      </c>
      <c r="Y60" s="1">
        <v>0</v>
      </c>
      <c r="Z60" s="1">
        <v>4.04</v>
      </c>
      <c r="AA60" s="1">
        <v>1.61</v>
      </c>
      <c r="AB60" s="4" t="s">
        <v>135</v>
      </c>
      <c r="AE60" t="s">
        <v>64</v>
      </c>
      <c r="AF60" t="s">
        <v>64</v>
      </c>
      <c r="AG60" t="s">
        <v>64</v>
      </c>
      <c r="AH60" t="s">
        <v>64</v>
      </c>
      <c r="AI60" t="s">
        <v>64</v>
      </c>
      <c r="AJ60" t="s">
        <v>64</v>
      </c>
      <c r="AK60" t="s">
        <v>64</v>
      </c>
      <c r="AL60" t="s">
        <v>64</v>
      </c>
      <c r="AM60" t="s">
        <v>64</v>
      </c>
      <c r="AN60" t="s">
        <v>64</v>
      </c>
      <c r="AO60" t="s">
        <v>64</v>
      </c>
      <c r="AP60" t="s">
        <v>64</v>
      </c>
      <c r="AQ60" t="s">
        <v>64</v>
      </c>
      <c r="AR60" t="s">
        <v>64</v>
      </c>
      <c r="AS60" t="s">
        <v>64</v>
      </c>
      <c r="AT60" t="s">
        <v>64</v>
      </c>
      <c r="AU60" t="s">
        <v>64</v>
      </c>
      <c r="AV60" t="s">
        <v>64</v>
      </c>
      <c r="AW60" t="s">
        <v>64</v>
      </c>
      <c r="AX60" t="s">
        <v>64</v>
      </c>
      <c r="AY60" t="s">
        <v>64</v>
      </c>
      <c r="AZ60" t="s">
        <v>64</v>
      </c>
      <c r="BA60" t="s">
        <v>64</v>
      </c>
      <c r="BB60" t="s">
        <v>64</v>
      </c>
      <c r="BC60" t="s">
        <v>64</v>
      </c>
      <c r="BD60">
        <v>1.6E-2</v>
      </c>
      <c r="BE60" t="s">
        <v>64</v>
      </c>
      <c r="BF60" t="s">
        <v>64</v>
      </c>
      <c r="BG60" t="s">
        <v>64</v>
      </c>
      <c r="BH60">
        <v>3.5000000000000003E-2</v>
      </c>
      <c r="BI60">
        <v>0.78681999999999996</v>
      </c>
      <c r="BK60" t="s">
        <v>136</v>
      </c>
    </row>
    <row r="61" spans="1:63" x14ac:dyDescent="0.25">
      <c r="A61" t="s">
        <v>137</v>
      </c>
      <c r="C61" s="1">
        <v>14519.92</v>
      </c>
      <c r="D61" s="1">
        <v>1371.62</v>
      </c>
      <c r="E61" s="1">
        <v>1628.62</v>
      </c>
      <c r="F61" s="1">
        <v>1351.71</v>
      </c>
      <c r="G61" s="1">
        <v>1066.23</v>
      </c>
      <c r="H61" s="1">
        <v>925.01</v>
      </c>
      <c r="I61" s="1">
        <v>592</v>
      </c>
      <c r="J61" s="1">
        <v>680.58</v>
      </c>
      <c r="K61" s="1">
        <v>541.95000000000005</v>
      </c>
      <c r="L61" s="1">
        <v>414.63</v>
      </c>
      <c r="M61" s="1">
        <v>170.11</v>
      </c>
      <c r="N61" s="1">
        <v>141.41999999999999</v>
      </c>
      <c r="O61" s="1">
        <v>54.33</v>
      </c>
      <c r="P61" s="1">
        <v>13.92</v>
      </c>
      <c r="Q61" s="1">
        <v>29.66</v>
      </c>
      <c r="R61" s="1">
        <v>28.3</v>
      </c>
      <c r="S61" s="1">
        <v>53.84</v>
      </c>
      <c r="T61" s="1">
        <v>74.95</v>
      </c>
      <c r="U61" s="1">
        <v>190.22</v>
      </c>
      <c r="V61" s="1">
        <v>636.63</v>
      </c>
      <c r="W61" s="1">
        <v>646.34</v>
      </c>
      <c r="X61" s="1">
        <v>541.79</v>
      </c>
      <c r="Y61" s="1">
        <v>708.72</v>
      </c>
      <c r="Z61" s="1">
        <v>1178.57</v>
      </c>
      <c r="AA61" s="1">
        <v>1478.77</v>
      </c>
      <c r="AB61" t="s">
        <v>137</v>
      </c>
      <c r="AE61">
        <v>-1.9E-2</v>
      </c>
      <c r="AF61">
        <v>5.7000000000000002E-2</v>
      </c>
      <c r="AG61">
        <v>2.7E-2</v>
      </c>
      <c r="AH61">
        <v>0.22977</v>
      </c>
      <c r="AI61">
        <v>0.14199999999999999</v>
      </c>
      <c r="AJ61">
        <v>-1.2E-2</v>
      </c>
      <c r="AK61">
        <v>-1.2999999999999999E-2</v>
      </c>
      <c r="AL61">
        <v>-1.2999999999999999E-2</v>
      </c>
      <c r="AM61">
        <v>-1.2999999999999999E-2</v>
      </c>
      <c r="AN61">
        <v>-1.2999999999999999E-2</v>
      </c>
      <c r="AO61">
        <v>-1.2999999999999999E-2</v>
      </c>
      <c r="AP61">
        <v>-1.2999999999999999E-2</v>
      </c>
      <c r="AQ61">
        <v>-1.2999999999999999E-2</v>
      </c>
      <c r="AR61">
        <v>-1.2999999999999999E-2</v>
      </c>
      <c r="AS61">
        <v>-1.2999999999999999E-2</v>
      </c>
      <c r="AT61">
        <v>-1.2999999999999999E-2</v>
      </c>
      <c r="AU61">
        <v>-1.2999999999999999E-2</v>
      </c>
      <c r="AV61">
        <v>-1.2999999999999999E-2</v>
      </c>
      <c r="AW61">
        <v>1.4E-2</v>
      </c>
      <c r="AX61">
        <v>1.4E-2</v>
      </c>
      <c r="AY61" t="s">
        <v>64</v>
      </c>
      <c r="AZ61">
        <v>1.4999999999999999E-2</v>
      </c>
      <c r="BA61">
        <v>1.2999999999999999E-2</v>
      </c>
      <c r="BB61">
        <v>1.2E-2</v>
      </c>
      <c r="BC61" t="s">
        <v>64</v>
      </c>
      <c r="BD61" t="s">
        <v>64</v>
      </c>
      <c r="BE61" t="s">
        <v>64</v>
      </c>
      <c r="BF61" t="s">
        <v>64</v>
      </c>
      <c r="BG61" t="s">
        <v>64</v>
      </c>
      <c r="BH61" t="s">
        <v>64</v>
      </c>
      <c r="BI61" t="s">
        <v>64</v>
      </c>
      <c r="BJ61" t="s">
        <v>64</v>
      </c>
      <c r="BK61" t="s">
        <v>138</v>
      </c>
    </row>
    <row r="62" spans="1:63" x14ac:dyDescent="0.25">
      <c r="A62" t="s">
        <v>139</v>
      </c>
      <c r="C62" s="1">
        <v>14518.22</v>
      </c>
      <c r="D62" s="1">
        <v>192.76</v>
      </c>
      <c r="E62" s="1">
        <v>364.64</v>
      </c>
      <c r="F62" s="1">
        <v>411.69</v>
      </c>
      <c r="G62" s="1">
        <v>498.11</v>
      </c>
      <c r="H62" s="1">
        <v>939.07</v>
      </c>
      <c r="I62" s="1">
        <v>1226.81</v>
      </c>
      <c r="J62" s="1">
        <v>1545.14</v>
      </c>
      <c r="K62" s="1">
        <v>1376.78</v>
      </c>
      <c r="L62" s="1">
        <v>1649.64</v>
      </c>
      <c r="M62" s="1">
        <v>1228.1099999999999</v>
      </c>
      <c r="N62" s="1">
        <v>533.69000000000005</v>
      </c>
      <c r="O62" s="1">
        <v>192.13</v>
      </c>
      <c r="P62" s="1">
        <v>215.83</v>
      </c>
      <c r="Q62" s="1">
        <v>149.05000000000001</v>
      </c>
      <c r="R62" s="1">
        <v>116.94</v>
      </c>
      <c r="S62" s="1">
        <v>34.83</v>
      </c>
      <c r="T62" s="1">
        <v>133.54</v>
      </c>
      <c r="U62" s="1">
        <v>186.3</v>
      </c>
      <c r="V62" s="1">
        <v>199.82</v>
      </c>
      <c r="W62" s="1">
        <v>181.49</v>
      </c>
      <c r="X62" s="1">
        <v>789.38</v>
      </c>
      <c r="Y62" s="1">
        <v>1742.85</v>
      </c>
      <c r="Z62" s="1">
        <v>453.67</v>
      </c>
      <c r="AA62" s="1">
        <v>155.94999999999999</v>
      </c>
      <c r="AB62" t="s">
        <v>139</v>
      </c>
      <c r="AE62" t="s">
        <v>64</v>
      </c>
      <c r="AF62">
        <v>1.4999999999999999E-2</v>
      </c>
      <c r="AG62">
        <v>4.1000000000000002E-2</v>
      </c>
      <c r="AH62" t="s">
        <v>64</v>
      </c>
      <c r="AI62">
        <v>0.01</v>
      </c>
      <c r="AJ62" t="s">
        <v>64</v>
      </c>
      <c r="AK62" t="s">
        <v>64</v>
      </c>
      <c r="AL62" t="s">
        <v>64</v>
      </c>
      <c r="AM62" t="s">
        <v>64</v>
      </c>
      <c r="AN62" t="s">
        <v>64</v>
      </c>
      <c r="AO62" t="s">
        <v>64</v>
      </c>
      <c r="AP62" t="s">
        <v>64</v>
      </c>
      <c r="AQ62" t="s">
        <v>64</v>
      </c>
      <c r="AR62" t="s">
        <v>64</v>
      </c>
      <c r="AS62" t="s">
        <v>64</v>
      </c>
      <c r="AT62" t="s">
        <v>64</v>
      </c>
      <c r="AU62" t="s">
        <v>64</v>
      </c>
      <c r="AV62" t="s">
        <v>64</v>
      </c>
      <c r="AW62">
        <v>6.3E-2</v>
      </c>
      <c r="AX62">
        <v>2.3E-2</v>
      </c>
      <c r="AY62">
        <v>0.47899999999999998</v>
      </c>
      <c r="AZ62">
        <v>0.04</v>
      </c>
      <c r="BA62">
        <v>4.2999999999999997E-2</v>
      </c>
      <c r="BB62">
        <v>2.7E-2</v>
      </c>
      <c r="BC62">
        <v>-2.4E-2</v>
      </c>
      <c r="BD62" t="s">
        <v>64</v>
      </c>
      <c r="BE62">
        <v>-1.2E-2</v>
      </c>
      <c r="BF62">
        <v>-1.0999999999999999E-2</v>
      </c>
      <c r="BG62">
        <v>-1.2E-2</v>
      </c>
      <c r="BH62">
        <v>-0.01</v>
      </c>
      <c r="BI62">
        <v>-0.01</v>
      </c>
      <c r="BJ62">
        <v>-1.2E-2</v>
      </c>
      <c r="BK62" t="s">
        <v>140</v>
      </c>
    </row>
    <row r="63" spans="1:63" x14ac:dyDescent="0.25">
      <c r="A63" t="s">
        <v>141</v>
      </c>
      <c r="C63" s="1">
        <v>14200.33</v>
      </c>
      <c r="D63" s="1">
        <v>625.15</v>
      </c>
      <c r="E63" s="1">
        <v>553.62</v>
      </c>
      <c r="F63" s="1">
        <v>320.19</v>
      </c>
      <c r="G63" s="1">
        <v>364.32</v>
      </c>
      <c r="H63" s="1">
        <v>582.27</v>
      </c>
      <c r="I63" s="1">
        <v>201.81</v>
      </c>
      <c r="J63" s="1">
        <v>66.599999999999994</v>
      </c>
      <c r="K63" s="1">
        <v>75</v>
      </c>
      <c r="L63" s="1">
        <v>165.94</v>
      </c>
      <c r="M63" s="1">
        <v>672.82</v>
      </c>
      <c r="N63" s="1">
        <v>846.51</v>
      </c>
      <c r="O63" s="1">
        <v>593.15</v>
      </c>
      <c r="P63" s="1">
        <v>501.89</v>
      </c>
      <c r="Q63" s="1">
        <v>220.39</v>
      </c>
      <c r="R63" s="1">
        <v>231.33</v>
      </c>
      <c r="S63" s="1">
        <v>799.32</v>
      </c>
      <c r="T63" s="1">
        <v>766.59</v>
      </c>
      <c r="U63" s="1">
        <v>771.24</v>
      </c>
      <c r="V63" s="1">
        <v>366.03</v>
      </c>
      <c r="W63" s="1">
        <v>1396.82</v>
      </c>
      <c r="X63" s="1">
        <v>1474.42</v>
      </c>
      <c r="Y63" s="1">
        <v>996.72</v>
      </c>
      <c r="Z63" s="1">
        <v>888.65</v>
      </c>
      <c r="AA63" s="1">
        <v>719.55</v>
      </c>
      <c r="AB63" t="s">
        <v>141</v>
      </c>
      <c r="AE63">
        <v>-7.4999999999999997E-2</v>
      </c>
      <c r="AF63">
        <v>9.4E-2</v>
      </c>
      <c r="AG63">
        <v>4.4999999999999998E-2</v>
      </c>
      <c r="AH63">
        <v>0.32323000000000002</v>
      </c>
      <c r="AI63">
        <v>0.21</v>
      </c>
      <c r="AJ63">
        <v>-1.7000000000000001E-2</v>
      </c>
      <c r="AK63">
        <v>-1.4E-2</v>
      </c>
      <c r="AL63">
        <v>-1.4999999999999999E-2</v>
      </c>
      <c r="AM63">
        <v>-1.4999999999999999E-2</v>
      </c>
      <c r="AN63">
        <v>-1.4999999999999999E-2</v>
      </c>
      <c r="AO63">
        <v>-1.4999999999999999E-2</v>
      </c>
      <c r="AP63">
        <v>-1.4999999999999999E-2</v>
      </c>
      <c r="AQ63">
        <v>-1.4999999999999999E-2</v>
      </c>
      <c r="AR63">
        <v>-1.4999999999999999E-2</v>
      </c>
      <c r="AS63">
        <v>-1.4999999999999999E-2</v>
      </c>
      <c r="AT63">
        <v>-1.4999999999999999E-2</v>
      </c>
      <c r="AU63">
        <v>-1.4999999999999999E-2</v>
      </c>
      <c r="AV63">
        <v>-1.4999999999999999E-2</v>
      </c>
      <c r="AW63">
        <v>1.9E-2</v>
      </c>
      <c r="AX63">
        <v>1.9E-2</v>
      </c>
      <c r="AY63" t="s">
        <v>64</v>
      </c>
      <c r="AZ63">
        <v>2.3E-2</v>
      </c>
      <c r="BA63">
        <v>1.6E-2</v>
      </c>
      <c r="BB63">
        <v>1.4999999999999999E-2</v>
      </c>
      <c r="BC63" t="s">
        <v>64</v>
      </c>
      <c r="BD63">
        <v>-0.01</v>
      </c>
      <c r="BE63" t="s">
        <v>64</v>
      </c>
      <c r="BF63" t="s">
        <v>64</v>
      </c>
      <c r="BG63" t="s">
        <v>64</v>
      </c>
      <c r="BH63" t="s">
        <v>64</v>
      </c>
      <c r="BI63" t="s">
        <v>64</v>
      </c>
      <c r="BJ63" t="s">
        <v>64</v>
      </c>
      <c r="BK63" t="s">
        <v>142</v>
      </c>
    </row>
    <row r="64" spans="1:63" x14ac:dyDescent="0.25">
      <c r="A64" t="s">
        <v>143</v>
      </c>
      <c r="C64" s="1">
        <v>13573.27</v>
      </c>
      <c r="D64" s="1">
        <v>140.54</v>
      </c>
      <c r="E64" s="1">
        <v>111.42</v>
      </c>
      <c r="F64" s="1">
        <v>171.19</v>
      </c>
      <c r="G64" s="1">
        <v>280.68</v>
      </c>
      <c r="H64" s="1">
        <v>211.31</v>
      </c>
      <c r="I64" s="1">
        <v>98.39</v>
      </c>
      <c r="J64" s="1">
        <v>185.75</v>
      </c>
      <c r="K64" s="1">
        <v>229.61</v>
      </c>
      <c r="L64" s="1">
        <v>369.99</v>
      </c>
      <c r="M64" s="1">
        <v>491.97</v>
      </c>
      <c r="N64" s="1">
        <v>603.27</v>
      </c>
      <c r="O64" s="1">
        <v>762.59</v>
      </c>
      <c r="P64" s="1">
        <v>576.12</v>
      </c>
      <c r="Q64" s="1">
        <v>836</v>
      </c>
      <c r="R64" s="1">
        <v>607.54999999999995</v>
      </c>
      <c r="S64" s="1">
        <v>1008.02</v>
      </c>
      <c r="T64" s="1">
        <v>1172.3399999999999</v>
      </c>
      <c r="U64" s="1">
        <v>1384.39</v>
      </c>
      <c r="V64" s="1">
        <v>809.43</v>
      </c>
      <c r="W64" s="1">
        <v>1002.9</v>
      </c>
      <c r="X64" s="1">
        <v>777.44</v>
      </c>
      <c r="Y64" s="1">
        <v>773.02</v>
      </c>
      <c r="Z64" s="1">
        <v>561.21</v>
      </c>
      <c r="AA64" s="1">
        <v>408.14</v>
      </c>
      <c r="AB64" s="4" t="s">
        <v>143</v>
      </c>
      <c r="AE64" t="s">
        <v>64</v>
      </c>
      <c r="AF64" t="s">
        <v>64</v>
      </c>
      <c r="AG64" t="s">
        <v>64</v>
      </c>
      <c r="AH64" t="s">
        <v>64</v>
      </c>
      <c r="AI64" t="s">
        <v>64</v>
      </c>
      <c r="AJ64" t="s">
        <v>64</v>
      </c>
      <c r="AK64" t="s">
        <v>64</v>
      </c>
      <c r="AL64" t="s">
        <v>64</v>
      </c>
      <c r="AM64" t="s">
        <v>64</v>
      </c>
      <c r="AN64" t="s">
        <v>64</v>
      </c>
      <c r="AO64" t="s">
        <v>64</v>
      </c>
      <c r="AP64" t="s">
        <v>64</v>
      </c>
      <c r="AQ64" t="s">
        <v>64</v>
      </c>
      <c r="AR64" t="s">
        <v>64</v>
      </c>
      <c r="AS64" t="s">
        <v>64</v>
      </c>
      <c r="AT64" t="s">
        <v>64</v>
      </c>
      <c r="AU64" t="s">
        <v>64</v>
      </c>
      <c r="AV64" t="s">
        <v>64</v>
      </c>
      <c r="AW64" t="s">
        <v>64</v>
      </c>
      <c r="AX64" t="s">
        <v>64</v>
      </c>
      <c r="AY64" t="s">
        <v>64</v>
      </c>
      <c r="AZ64" t="s">
        <v>64</v>
      </c>
      <c r="BA64" t="s">
        <v>64</v>
      </c>
      <c r="BB64" t="s">
        <v>64</v>
      </c>
      <c r="BC64" t="s">
        <v>64</v>
      </c>
      <c r="BD64" t="s">
        <v>64</v>
      </c>
      <c r="BE64" t="s">
        <v>64</v>
      </c>
      <c r="BF64" t="s">
        <v>64</v>
      </c>
      <c r="BG64" t="s">
        <v>64</v>
      </c>
      <c r="BH64" t="s">
        <v>64</v>
      </c>
      <c r="BI64">
        <v>0.47599999999999998</v>
      </c>
      <c r="BJ64" t="s">
        <v>64</v>
      </c>
      <c r="BK64" t="s">
        <v>144</v>
      </c>
    </row>
    <row r="65" spans="1:63" x14ac:dyDescent="0.25">
      <c r="A65" t="s">
        <v>145</v>
      </c>
      <c r="C65" s="1">
        <v>12489.03</v>
      </c>
      <c r="D65" s="1">
        <v>0</v>
      </c>
      <c r="E65" s="1">
        <v>0</v>
      </c>
      <c r="F65" s="1"/>
      <c r="G65" s="1"/>
      <c r="H65" s="1"/>
      <c r="I65" s="1">
        <v>89.29</v>
      </c>
      <c r="J65" s="1">
        <v>207.39</v>
      </c>
      <c r="K65" s="1">
        <v>2854.34</v>
      </c>
      <c r="L65" s="1">
        <v>2801.74</v>
      </c>
      <c r="M65" s="1">
        <v>1400</v>
      </c>
      <c r="N65" s="1">
        <v>47.26</v>
      </c>
      <c r="O65" s="1">
        <v>830.02</v>
      </c>
      <c r="P65" s="1">
        <v>3272.28</v>
      </c>
      <c r="Q65" s="1">
        <v>491.34</v>
      </c>
      <c r="R65" s="1">
        <v>495.37</v>
      </c>
      <c r="S65" s="1">
        <v>0</v>
      </c>
      <c r="T65" s="1">
        <v>0</v>
      </c>
      <c r="U65" s="1">
        <v>0</v>
      </c>
      <c r="V65" s="1"/>
      <c r="W65" s="1">
        <v>0</v>
      </c>
      <c r="X65" s="1">
        <v>0</v>
      </c>
      <c r="Y65" s="1"/>
      <c r="Z65" s="1"/>
      <c r="AA65" s="1">
        <v>0</v>
      </c>
      <c r="AB65" t="s">
        <v>145</v>
      </c>
      <c r="AE65" t="s">
        <v>64</v>
      </c>
      <c r="AF65" t="s">
        <v>64</v>
      </c>
      <c r="AG65" t="s">
        <v>64</v>
      </c>
      <c r="AH65" t="s">
        <v>64</v>
      </c>
      <c r="AI65" t="s">
        <v>64</v>
      </c>
      <c r="AJ65" t="s">
        <v>64</v>
      </c>
      <c r="AK65" t="s">
        <v>64</v>
      </c>
      <c r="AL65" t="s">
        <v>64</v>
      </c>
      <c r="AM65" t="s">
        <v>64</v>
      </c>
      <c r="AN65" t="s">
        <v>64</v>
      </c>
      <c r="AO65" t="s">
        <v>64</v>
      </c>
      <c r="AP65" t="s">
        <v>64</v>
      </c>
      <c r="AQ65" t="s">
        <v>64</v>
      </c>
      <c r="AR65" t="s">
        <v>64</v>
      </c>
      <c r="AS65" t="s">
        <v>64</v>
      </c>
      <c r="AT65" t="s">
        <v>64</v>
      </c>
      <c r="AU65" t="s">
        <v>64</v>
      </c>
      <c r="AV65" t="s">
        <v>64</v>
      </c>
      <c r="AW65" t="s">
        <v>64</v>
      </c>
      <c r="AX65" t="s">
        <v>64</v>
      </c>
      <c r="AY65" t="s">
        <v>64</v>
      </c>
      <c r="AZ65" t="s">
        <v>64</v>
      </c>
      <c r="BA65" t="s">
        <v>64</v>
      </c>
      <c r="BB65" t="s">
        <v>64</v>
      </c>
      <c r="BC65" t="s">
        <v>64</v>
      </c>
      <c r="BD65">
        <v>-4.4999999999999998E-2</v>
      </c>
      <c r="BE65" t="s">
        <v>64</v>
      </c>
      <c r="BF65" t="s">
        <v>64</v>
      </c>
      <c r="BG65" t="s">
        <v>64</v>
      </c>
      <c r="BH65">
        <v>1.2999999999999999E-2</v>
      </c>
      <c r="BI65">
        <v>5.2999999999999999E-2</v>
      </c>
      <c r="BJ65" t="s">
        <v>64</v>
      </c>
    </row>
    <row r="66" spans="1:63" x14ac:dyDescent="0.25">
      <c r="A66" t="s">
        <v>146</v>
      </c>
      <c r="C66" s="1">
        <v>12390.2</v>
      </c>
      <c r="D66" s="1">
        <v>1631.85</v>
      </c>
      <c r="E66" s="1">
        <v>594.25</v>
      </c>
      <c r="F66" s="1">
        <v>240.53</v>
      </c>
      <c r="G66" s="1">
        <v>10.029999999999999</v>
      </c>
      <c r="H66" s="1">
        <v>0</v>
      </c>
      <c r="I66" s="1">
        <v>48.1</v>
      </c>
      <c r="J66" s="1">
        <v>16.399999999999999</v>
      </c>
      <c r="K66" s="1">
        <v>0</v>
      </c>
      <c r="L66" s="1">
        <v>61.85</v>
      </c>
      <c r="M66" s="1">
        <v>379.63</v>
      </c>
      <c r="N66" s="1">
        <v>409.9</v>
      </c>
      <c r="O66" s="1">
        <v>240.13</v>
      </c>
      <c r="P66" s="1">
        <v>159.38999999999999</v>
      </c>
      <c r="Q66" s="1">
        <v>0</v>
      </c>
      <c r="R66" s="1">
        <v>0</v>
      </c>
      <c r="S66" s="1"/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2034.64</v>
      </c>
      <c r="Z66" s="1">
        <v>3808.83</v>
      </c>
      <c r="AA66" s="1">
        <v>2754.67</v>
      </c>
      <c r="AB66" t="s">
        <v>146</v>
      </c>
      <c r="AE66" t="s">
        <v>64</v>
      </c>
      <c r="AF66">
        <v>3.5000000000000003E-2</v>
      </c>
      <c r="AG66">
        <v>0.06</v>
      </c>
      <c r="AH66" t="s">
        <v>64</v>
      </c>
      <c r="AI66" t="s">
        <v>64</v>
      </c>
      <c r="AJ66" t="s">
        <v>64</v>
      </c>
      <c r="AK66" t="s">
        <v>64</v>
      </c>
      <c r="AL66" t="s">
        <v>64</v>
      </c>
      <c r="AM66" t="s">
        <v>64</v>
      </c>
      <c r="AN66" t="s">
        <v>64</v>
      </c>
      <c r="AO66" t="s">
        <v>64</v>
      </c>
      <c r="AP66" t="s">
        <v>64</v>
      </c>
      <c r="AQ66" t="s">
        <v>64</v>
      </c>
      <c r="AR66" t="s">
        <v>64</v>
      </c>
      <c r="AS66" t="s">
        <v>64</v>
      </c>
      <c r="AT66" t="s">
        <v>64</v>
      </c>
      <c r="AU66" t="s">
        <v>64</v>
      </c>
      <c r="AV66" t="s">
        <v>64</v>
      </c>
      <c r="AW66">
        <v>1.9E-2</v>
      </c>
      <c r="AX66" t="s">
        <v>64</v>
      </c>
      <c r="AY66" t="s">
        <v>64</v>
      </c>
      <c r="AZ66" t="s">
        <v>64</v>
      </c>
      <c r="BA66" t="s">
        <v>64</v>
      </c>
      <c r="BC66" t="s">
        <v>64</v>
      </c>
      <c r="BD66" t="s">
        <v>64</v>
      </c>
      <c r="BE66" t="s">
        <v>64</v>
      </c>
      <c r="BF66" t="s">
        <v>64</v>
      </c>
      <c r="BG66" t="s">
        <v>64</v>
      </c>
      <c r="BH66" t="s">
        <v>64</v>
      </c>
      <c r="BI66" t="s">
        <v>64</v>
      </c>
      <c r="BJ66" t="s">
        <v>64</v>
      </c>
    </row>
    <row r="67" spans="1:63" x14ac:dyDescent="0.25">
      <c r="A67" t="s">
        <v>147</v>
      </c>
      <c r="C67" s="1">
        <v>12090.77</v>
      </c>
      <c r="D67" s="1">
        <v>0</v>
      </c>
      <c r="E67" s="1">
        <v>21.33</v>
      </c>
      <c r="F67" s="1">
        <v>30.48</v>
      </c>
      <c r="G67" s="1">
        <v>1296.03</v>
      </c>
      <c r="H67" s="1">
        <v>688.97</v>
      </c>
      <c r="I67" s="1">
        <v>223.95</v>
      </c>
      <c r="J67" s="1">
        <v>481.81</v>
      </c>
      <c r="K67" s="1">
        <v>597.29</v>
      </c>
      <c r="L67" s="1">
        <v>632.91999999999996</v>
      </c>
      <c r="M67" s="1">
        <v>809.61</v>
      </c>
      <c r="N67" s="1">
        <v>332.14</v>
      </c>
      <c r="O67" s="1">
        <v>170.1</v>
      </c>
      <c r="P67" s="1">
        <v>39.68</v>
      </c>
      <c r="Q67" s="1">
        <v>28.32</v>
      </c>
      <c r="R67" s="1">
        <v>41.89</v>
      </c>
      <c r="S67" s="1">
        <v>362.42</v>
      </c>
      <c r="T67" s="1">
        <v>991.13</v>
      </c>
      <c r="U67" s="1">
        <v>462.08</v>
      </c>
      <c r="V67" s="1">
        <v>1168.5899999999999</v>
      </c>
      <c r="W67" s="1">
        <v>782.43</v>
      </c>
      <c r="X67" s="1">
        <v>1171.47</v>
      </c>
      <c r="Y67" s="1">
        <v>1602.25</v>
      </c>
      <c r="Z67" s="1">
        <v>82.85</v>
      </c>
      <c r="AA67" s="1">
        <v>73.03</v>
      </c>
      <c r="AB67" t="s">
        <v>147</v>
      </c>
      <c r="AE67">
        <v>0.02</v>
      </c>
      <c r="AF67">
        <v>-0.14974999999999999</v>
      </c>
      <c r="AG67">
        <v>-0.06</v>
      </c>
      <c r="AH67">
        <v>0.27526</v>
      </c>
      <c r="AI67">
        <v>0.29992999999999997</v>
      </c>
      <c r="AJ67" t="s">
        <v>64</v>
      </c>
      <c r="AK67" t="s">
        <v>64</v>
      </c>
      <c r="AL67" t="s">
        <v>64</v>
      </c>
      <c r="AM67" t="s">
        <v>64</v>
      </c>
      <c r="AN67" t="s">
        <v>64</v>
      </c>
      <c r="AO67" t="s">
        <v>64</v>
      </c>
      <c r="AP67" t="s">
        <v>64</v>
      </c>
      <c r="AQ67" t="s">
        <v>64</v>
      </c>
      <c r="AR67">
        <v>0.01</v>
      </c>
      <c r="AS67" t="s">
        <v>64</v>
      </c>
      <c r="AT67" t="s">
        <v>64</v>
      </c>
      <c r="AU67" t="s">
        <v>64</v>
      </c>
      <c r="AV67" t="s">
        <v>64</v>
      </c>
      <c r="AW67">
        <v>-2.3E-2</v>
      </c>
      <c r="AX67">
        <v>-2.4E-2</v>
      </c>
      <c r="AY67" t="s">
        <v>64</v>
      </c>
      <c r="AZ67">
        <v>-2.5000000000000001E-2</v>
      </c>
      <c r="BA67">
        <v>-0.02</v>
      </c>
      <c r="BB67">
        <v>-1.7000000000000001E-2</v>
      </c>
      <c r="BC67" t="s">
        <v>64</v>
      </c>
      <c r="BD67" t="s">
        <v>64</v>
      </c>
      <c r="BE67" t="s">
        <v>64</v>
      </c>
      <c r="BF67" t="s">
        <v>64</v>
      </c>
      <c r="BG67" t="s">
        <v>64</v>
      </c>
      <c r="BH67" t="s">
        <v>64</v>
      </c>
      <c r="BI67" t="s">
        <v>64</v>
      </c>
      <c r="BJ67" t="s">
        <v>64</v>
      </c>
      <c r="BK67" t="s">
        <v>148</v>
      </c>
    </row>
    <row r="68" spans="1:63" x14ac:dyDescent="0.25">
      <c r="A68" t="s">
        <v>149</v>
      </c>
      <c r="C68" s="1">
        <v>11356.14</v>
      </c>
      <c r="D68" s="1"/>
      <c r="E68" s="1"/>
      <c r="F68" s="1"/>
      <c r="G68" s="1"/>
      <c r="H68" s="1"/>
      <c r="I68" s="1"/>
      <c r="J68" s="1"/>
      <c r="K68" s="1"/>
      <c r="L68" s="1">
        <v>3.91</v>
      </c>
      <c r="M68" s="1">
        <v>266</v>
      </c>
      <c r="N68" s="1">
        <v>1124.92</v>
      </c>
      <c r="O68" s="1">
        <v>1468.69</v>
      </c>
      <c r="P68" s="1">
        <v>1177.45</v>
      </c>
      <c r="Q68" s="1">
        <v>987.7</v>
      </c>
      <c r="R68" s="1">
        <v>1411.92</v>
      </c>
      <c r="S68" s="1">
        <v>1709.85</v>
      </c>
      <c r="T68" s="1">
        <v>2248.15</v>
      </c>
      <c r="U68" s="1">
        <v>391.93</v>
      </c>
      <c r="V68" s="1">
        <v>16.22</v>
      </c>
      <c r="W68" s="1">
        <v>198.77</v>
      </c>
      <c r="X68" s="1">
        <v>350.63</v>
      </c>
      <c r="Y68" s="1">
        <v>0</v>
      </c>
      <c r="Z68" s="1">
        <v>0</v>
      </c>
      <c r="AA68" s="1"/>
      <c r="AB68" t="s">
        <v>149</v>
      </c>
      <c r="AE68">
        <v>-0.01</v>
      </c>
      <c r="AF68">
        <v>-0.01</v>
      </c>
      <c r="AG68">
        <v>-0.01</v>
      </c>
      <c r="AH68">
        <v>-0.01</v>
      </c>
      <c r="AI68">
        <v>-0.01</v>
      </c>
      <c r="AJ68">
        <v>-0.01</v>
      </c>
      <c r="AK68">
        <v>-0.01</v>
      </c>
      <c r="AL68">
        <v>-0.01</v>
      </c>
      <c r="AM68">
        <v>-0.01</v>
      </c>
      <c r="AN68">
        <v>-0.01</v>
      </c>
      <c r="AO68">
        <v>-0.01</v>
      </c>
      <c r="AP68">
        <v>-0.01</v>
      </c>
      <c r="AQ68">
        <v>-0.01</v>
      </c>
      <c r="AR68">
        <v>-0.01</v>
      </c>
      <c r="AS68">
        <v>-0.01</v>
      </c>
      <c r="AT68">
        <v>-0.01</v>
      </c>
      <c r="AU68">
        <v>-0.01</v>
      </c>
      <c r="AV68">
        <v>-0.01</v>
      </c>
      <c r="AW68">
        <v>-0.01</v>
      </c>
      <c r="AX68">
        <v>-0.01</v>
      </c>
      <c r="AY68">
        <v>-0.01</v>
      </c>
      <c r="AZ68">
        <v>-0.01</v>
      </c>
      <c r="BA68">
        <v>-0.01</v>
      </c>
      <c r="BB68">
        <v>-0.01</v>
      </c>
      <c r="BC68">
        <v>0.14257</v>
      </c>
      <c r="BD68">
        <v>-0.01</v>
      </c>
      <c r="BE68">
        <v>-0.01</v>
      </c>
      <c r="BF68">
        <v>-0.01</v>
      </c>
      <c r="BG68">
        <v>-0.01</v>
      </c>
      <c r="BH68">
        <v>-0.01</v>
      </c>
      <c r="BI68">
        <v>-0.01</v>
      </c>
      <c r="BJ68">
        <v>-0.01</v>
      </c>
    </row>
    <row r="69" spans="1:63" x14ac:dyDescent="0.25">
      <c r="A69" t="s">
        <v>150</v>
      </c>
      <c r="C69" s="1">
        <v>11040.17</v>
      </c>
      <c r="D69" s="1">
        <v>719.41</v>
      </c>
      <c r="E69" s="1">
        <v>568.46</v>
      </c>
      <c r="F69" s="1">
        <v>566.01</v>
      </c>
      <c r="G69" s="1">
        <v>519.16</v>
      </c>
      <c r="H69" s="1">
        <v>575.6</v>
      </c>
      <c r="I69" s="1">
        <v>635.09</v>
      </c>
      <c r="J69" s="1">
        <v>706.34</v>
      </c>
      <c r="K69" s="1">
        <v>289.17</v>
      </c>
      <c r="L69" s="1">
        <v>171.8</v>
      </c>
      <c r="M69" s="1">
        <v>223.48</v>
      </c>
      <c r="N69" s="1">
        <v>238.55</v>
      </c>
      <c r="O69" s="1">
        <v>233.05</v>
      </c>
      <c r="P69" s="1">
        <v>251.41</v>
      </c>
      <c r="Q69" s="1">
        <v>241.25</v>
      </c>
      <c r="R69" s="1">
        <v>268.81</v>
      </c>
      <c r="S69" s="1">
        <v>215.43</v>
      </c>
      <c r="T69" s="1">
        <v>407.07</v>
      </c>
      <c r="U69" s="1">
        <v>405.68</v>
      </c>
      <c r="V69" s="1">
        <v>436.28</v>
      </c>
      <c r="W69" s="1">
        <v>720.93</v>
      </c>
      <c r="X69" s="1">
        <v>670.11</v>
      </c>
      <c r="Y69" s="1">
        <v>625.03</v>
      </c>
      <c r="Z69" s="1">
        <v>666.14</v>
      </c>
      <c r="AA69" s="1">
        <v>685.91</v>
      </c>
      <c r="AB69" t="s">
        <v>150</v>
      </c>
      <c r="AE69">
        <v>-0.06</v>
      </c>
      <c r="AF69">
        <v>-1.4E-2</v>
      </c>
      <c r="AG69">
        <v>-0.01</v>
      </c>
      <c r="AH69">
        <v>-3.4000000000000002E-2</v>
      </c>
      <c r="AI69">
        <v>-2.4E-2</v>
      </c>
      <c r="AJ69">
        <v>-4.4999999999999998E-2</v>
      </c>
      <c r="AK69">
        <v>-5.8999999999999997E-2</v>
      </c>
      <c r="AL69">
        <v>-5.8000000000000003E-2</v>
      </c>
      <c r="AM69">
        <v>-5.8000000000000003E-2</v>
      </c>
      <c r="AN69">
        <v>-5.7000000000000002E-2</v>
      </c>
      <c r="AO69">
        <v>-5.8000000000000003E-2</v>
      </c>
      <c r="AP69">
        <v>-5.8000000000000003E-2</v>
      </c>
      <c r="AQ69">
        <v>-5.8000000000000003E-2</v>
      </c>
      <c r="AR69">
        <v>-5.8000000000000003E-2</v>
      </c>
      <c r="AS69">
        <v>-5.8000000000000003E-2</v>
      </c>
      <c r="AT69">
        <v>-5.8000000000000003E-2</v>
      </c>
      <c r="AU69">
        <v>-5.8000000000000003E-2</v>
      </c>
      <c r="AV69">
        <v>-5.8000000000000003E-2</v>
      </c>
      <c r="AW69" t="s">
        <v>64</v>
      </c>
      <c r="AX69" t="s">
        <v>64</v>
      </c>
      <c r="AY69" t="s">
        <v>64</v>
      </c>
      <c r="AZ69" t="s">
        <v>64</v>
      </c>
      <c r="BA69" t="s">
        <v>64</v>
      </c>
      <c r="BB69" t="s">
        <v>64</v>
      </c>
      <c r="BC69">
        <v>1.2E-2</v>
      </c>
      <c r="BD69">
        <v>-1.9E-2</v>
      </c>
      <c r="BE69">
        <v>3.4000000000000002E-2</v>
      </c>
      <c r="BF69">
        <v>2.8799999999999999E-2</v>
      </c>
      <c r="BG69">
        <v>3.4000000000000002E-2</v>
      </c>
      <c r="BH69">
        <v>2.5999999999999999E-2</v>
      </c>
      <c r="BI69">
        <v>-3.5999999999999997E-2</v>
      </c>
      <c r="BJ69">
        <v>3.4000000000000002E-2</v>
      </c>
    </row>
    <row r="70" spans="1:63" x14ac:dyDescent="0.25">
      <c r="A70" t="s">
        <v>151</v>
      </c>
      <c r="C70" s="1">
        <v>10819.9</v>
      </c>
      <c r="D70" s="1">
        <v>0.64</v>
      </c>
      <c r="E70" s="1">
        <v>0.12</v>
      </c>
      <c r="F70" s="1">
        <v>0.69</v>
      </c>
      <c r="G70" s="1">
        <v>2.2999999999999998</v>
      </c>
      <c r="H70" s="1">
        <v>0</v>
      </c>
      <c r="I70" s="1">
        <v>0</v>
      </c>
      <c r="J70" s="1">
        <v>22.67</v>
      </c>
      <c r="K70" s="1">
        <v>33.19</v>
      </c>
      <c r="L70" s="1">
        <v>359.24</v>
      </c>
      <c r="M70" s="1">
        <v>685.33</v>
      </c>
      <c r="N70" s="1">
        <v>948.4</v>
      </c>
      <c r="O70" s="1">
        <v>1115.01</v>
      </c>
      <c r="P70" s="1">
        <v>1404.91</v>
      </c>
      <c r="Q70" s="1">
        <v>1542.76</v>
      </c>
      <c r="R70" s="1">
        <v>1566.45</v>
      </c>
      <c r="S70" s="1">
        <v>1461.54</v>
      </c>
      <c r="T70" s="1">
        <v>1138.0999999999999</v>
      </c>
      <c r="U70" s="1">
        <v>394.26</v>
      </c>
      <c r="V70" s="1">
        <v>43.37</v>
      </c>
      <c r="W70" s="1">
        <v>9.34</v>
      </c>
      <c r="X70" s="1">
        <v>9.9</v>
      </c>
      <c r="Y70" s="1">
        <v>10.85</v>
      </c>
      <c r="Z70" s="1">
        <v>37.64</v>
      </c>
      <c r="AA70" s="1">
        <v>33.19</v>
      </c>
      <c r="AB70" t="s">
        <v>151</v>
      </c>
      <c r="AE70">
        <v>-5.0999999999999997E-2</v>
      </c>
      <c r="AF70">
        <v>-1.9E-2</v>
      </c>
      <c r="AG70">
        <v>-1.4999999999999999E-2</v>
      </c>
      <c r="AH70">
        <v>-3.3000000000000002E-2</v>
      </c>
      <c r="AI70">
        <v>-2.5999999999999999E-2</v>
      </c>
      <c r="AJ70">
        <v>-4.2000000000000003E-2</v>
      </c>
      <c r="AK70">
        <v>-5.5E-2</v>
      </c>
      <c r="AL70">
        <v>-5.3999999999999999E-2</v>
      </c>
      <c r="AM70">
        <v>-5.3999999999999999E-2</v>
      </c>
      <c r="AN70">
        <v>-5.2999999999999999E-2</v>
      </c>
      <c r="AO70">
        <v>-5.3999999999999999E-2</v>
      </c>
      <c r="AP70">
        <v>-5.3999999999999999E-2</v>
      </c>
      <c r="AQ70">
        <v>-5.6000000000000001E-2</v>
      </c>
      <c r="AR70">
        <v>-5.3999999999999999E-2</v>
      </c>
      <c r="AS70">
        <v>-5.3999999999999999E-2</v>
      </c>
      <c r="AT70">
        <v>-5.3999999999999999E-2</v>
      </c>
      <c r="AU70">
        <v>-5.3999999999999999E-2</v>
      </c>
      <c r="AV70">
        <v>-5.3999999999999999E-2</v>
      </c>
      <c r="AW70" t="s">
        <v>64</v>
      </c>
      <c r="AX70" t="s">
        <v>64</v>
      </c>
      <c r="AY70">
        <v>2.3E-2</v>
      </c>
      <c r="AZ70">
        <v>-1.2999999999999999E-2</v>
      </c>
      <c r="BA70" t="s">
        <v>64</v>
      </c>
      <c r="BB70" t="s">
        <v>64</v>
      </c>
      <c r="BC70">
        <v>7.3999999999999996E-2</v>
      </c>
      <c r="BD70">
        <v>-0.06</v>
      </c>
      <c r="BE70">
        <v>-7.0000000000000007E-2</v>
      </c>
      <c r="BF70">
        <v>-6.5000000000000002E-2</v>
      </c>
      <c r="BG70">
        <v>-7.0000000000000007E-2</v>
      </c>
      <c r="BH70">
        <v>-6.3E-2</v>
      </c>
      <c r="BI70">
        <v>-6.2E-2</v>
      </c>
      <c r="BJ70">
        <v>-7.0000000000000007E-2</v>
      </c>
    </row>
    <row r="71" spans="1:63" x14ac:dyDescent="0.25">
      <c r="A71" t="s">
        <v>152</v>
      </c>
      <c r="C71" s="1">
        <v>9688.18</v>
      </c>
      <c r="D71" s="1">
        <v>1339.93</v>
      </c>
      <c r="E71" s="1">
        <v>841.77</v>
      </c>
      <c r="F71" s="1">
        <v>1008.99</v>
      </c>
      <c r="G71" s="1">
        <v>731.36</v>
      </c>
      <c r="H71" s="1">
        <v>657.2</v>
      </c>
      <c r="I71" s="1">
        <v>585.67999999999995</v>
      </c>
      <c r="J71" s="1">
        <v>589.9</v>
      </c>
      <c r="K71" s="1">
        <v>391.35</v>
      </c>
      <c r="L71" s="1">
        <v>1.58</v>
      </c>
      <c r="M71" s="1">
        <v>0</v>
      </c>
      <c r="N71" s="1"/>
      <c r="O71" s="1"/>
      <c r="P71" s="1"/>
      <c r="Q71" s="1">
        <v>0</v>
      </c>
      <c r="R71" s="1">
        <v>1.55</v>
      </c>
      <c r="S71" s="1">
        <v>2.0699999999999998</v>
      </c>
      <c r="T71" s="1">
        <v>0.83</v>
      </c>
      <c r="U71" s="1">
        <v>0</v>
      </c>
      <c r="V71" s="1">
        <v>141.79</v>
      </c>
      <c r="W71" s="1">
        <v>204.77</v>
      </c>
      <c r="X71" s="1">
        <v>394.55</v>
      </c>
      <c r="Y71" s="1">
        <v>464.12</v>
      </c>
      <c r="Z71" s="1">
        <v>898.98</v>
      </c>
      <c r="AA71" s="1">
        <v>1431.76</v>
      </c>
      <c r="AB71" t="s">
        <v>152</v>
      </c>
      <c r="AE71">
        <v>8.5129999999999997E-2</v>
      </c>
      <c r="AF71">
        <v>-0.01</v>
      </c>
      <c r="AG71">
        <v>-1.7999999999999999E-2</v>
      </c>
      <c r="AH71">
        <v>3.4000000000000002E-2</v>
      </c>
      <c r="AI71">
        <v>1.0999999999999999E-2</v>
      </c>
      <c r="AJ71">
        <v>-2.4E-2</v>
      </c>
      <c r="AK71">
        <v>0.21465999999999999</v>
      </c>
      <c r="AL71">
        <v>0.2</v>
      </c>
      <c r="AM71">
        <v>0.2</v>
      </c>
      <c r="AN71">
        <v>0.2</v>
      </c>
      <c r="AO71">
        <v>0.2</v>
      </c>
      <c r="AP71">
        <v>0.2</v>
      </c>
      <c r="AQ71">
        <v>0.08</v>
      </c>
      <c r="AR71">
        <v>0.2</v>
      </c>
      <c r="AS71">
        <v>0.2</v>
      </c>
      <c r="AT71">
        <v>0.2</v>
      </c>
      <c r="AU71">
        <v>0.2</v>
      </c>
      <c r="AV71">
        <v>0.2</v>
      </c>
      <c r="AW71">
        <v>-0.02</v>
      </c>
      <c r="AX71">
        <v>-0.02</v>
      </c>
      <c r="AY71">
        <v>-2.1999999999999999E-2</v>
      </c>
      <c r="AZ71">
        <v>-0.02</v>
      </c>
      <c r="BA71">
        <v>-0.02</v>
      </c>
      <c r="BB71">
        <v>-0.02</v>
      </c>
      <c r="BC71">
        <v>-0.02</v>
      </c>
      <c r="BD71">
        <v>-0.02</v>
      </c>
      <c r="BE71">
        <v>-0.02</v>
      </c>
      <c r="BF71">
        <v>-2.1000000000000001E-2</v>
      </c>
      <c r="BG71">
        <v>-2.1999999999999999E-2</v>
      </c>
      <c r="BH71">
        <v>-2.1999999999999999E-2</v>
      </c>
      <c r="BI71">
        <v>-2.1000000000000001E-2</v>
      </c>
      <c r="BJ71">
        <v>-2.1999999999999999E-2</v>
      </c>
    </row>
    <row r="72" spans="1:63" x14ac:dyDescent="0.25">
      <c r="A72" t="s">
        <v>153</v>
      </c>
      <c r="C72" s="1">
        <v>8837.7199999999993</v>
      </c>
      <c r="D72" s="1"/>
      <c r="E72" s="1"/>
      <c r="F72" s="1"/>
      <c r="G72" s="1"/>
      <c r="H72" s="1"/>
      <c r="I72" s="1"/>
      <c r="J72" s="1"/>
      <c r="K72" s="1"/>
      <c r="L72" s="1"/>
      <c r="M72" s="1">
        <v>39.81</v>
      </c>
      <c r="N72" s="1">
        <v>10.61</v>
      </c>
      <c r="O72" s="1">
        <v>193.52</v>
      </c>
      <c r="P72" s="1">
        <v>476.05</v>
      </c>
      <c r="Q72" s="1">
        <v>815.3</v>
      </c>
      <c r="R72" s="1">
        <v>1194.7</v>
      </c>
      <c r="S72" s="1">
        <v>1489.93</v>
      </c>
      <c r="T72" s="1">
        <v>1546.13</v>
      </c>
      <c r="U72" s="1">
        <v>1376.95</v>
      </c>
      <c r="V72" s="1">
        <v>1583.76</v>
      </c>
      <c r="W72" s="1">
        <v>110.96</v>
      </c>
      <c r="X72" s="1">
        <v>0</v>
      </c>
      <c r="Y72" s="1"/>
      <c r="Z72" s="1"/>
      <c r="AA72" s="1"/>
      <c r="AB72" t="s">
        <v>153</v>
      </c>
      <c r="AE72">
        <v>0.28399999999999997</v>
      </c>
      <c r="AF72" t="s">
        <v>64</v>
      </c>
      <c r="AG72" t="s">
        <v>64</v>
      </c>
      <c r="AH72">
        <v>2.5000000000000001E-2</v>
      </c>
      <c r="AI72">
        <v>1.6E-2</v>
      </c>
      <c r="AJ72">
        <v>0.01</v>
      </c>
      <c r="AK72">
        <v>-1.6E-2</v>
      </c>
      <c r="AL72">
        <v>-0.02</v>
      </c>
      <c r="AM72">
        <v>-1.7999999999999999E-2</v>
      </c>
      <c r="AN72">
        <v>-2.3E-2</v>
      </c>
      <c r="AO72">
        <v>-1.9E-2</v>
      </c>
      <c r="AP72">
        <v>-1.9E-2</v>
      </c>
      <c r="AQ72">
        <v>-1.6E-2</v>
      </c>
      <c r="AR72">
        <v>-3.5000000000000003E-2</v>
      </c>
      <c r="AS72">
        <v>-1.7000000000000001E-2</v>
      </c>
      <c r="AT72">
        <v>-1.7000000000000001E-2</v>
      </c>
      <c r="AU72">
        <v>-1.7000000000000001E-2</v>
      </c>
      <c r="AV72">
        <v>-1.7000000000000001E-2</v>
      </c>
      <c r="AW72" t="s">
        <v>64</v>
      </c>
      <c r="AX72" t="s">
        <v>64</v>
      </c>
      <c r="AY72" t="s">
        <v>64</v>
      </c>
      <c r="AZ72" t="s">
        <v>64</v>
      </c>
      <c r="BA72" t="s">
        <v>64</v>
      </c>
      <c r="BB72" t="s">
        <v>64</v>
      </c>
      <c r="BC72" t="s">
        <v>64</v>
      </c>
      <c r="BD72" t="s">
        <v>64</v>
      </c>
      <c r="BE72" t="s">
        <v>64</v>
      </c>
      <c r="BI72" t="s">
        <v>64</v>
      </c>
      <c r="BK72" t="s">
        <v>154</v>
      </c>
    </row>
    <row r="73" spans="1:63" x14ac:dyDescent="0.25">
      <c r="A73" t="s">
        <v>155</v>
      </c>
      <c r="C73" s="1">
        <v>8701.73</v>
      </c>
      <c r="D73" s="1">
        <v>305.77</v>
      </c>
      <c r="E73" s="1">
        <v>249.86</v>
      </c>
      <c r="F73" s="1">
        <v>192.79</v>
      </c>
      <c r="G73" s="1">
        <v>152.03</v>
      </c>
      <c r="H73" s="1">
        <v>148.13999999999999</v>
      </c>
      <c r="I73" s="1">
        <v>170.43</v>
      </c>
      <c r="J73" s="1">
        <v>204.97</v>
      </c>
      <c r="K73" s="1">
        <v>284.51</v>
      </c>
      <c r="L73" s="1">
        <v>250.59</v>
      </c>
      <c r="M73" s="1">
        <v>377.52</v>
      </c>
      <c r="N73" s="1">
        <v>516.63</v>
      </c>
      <c r="O73" s="1">
        <v>532.59</v>
      </c>
      <c r="P73" s="1">
        <v>469.9</v>
      </c>
      <c r="Q73" s="1">
        <v>437.06</v>
      </c>
      <c r="R73" s="1">
        <v>463.27</v>
      </c>
      <c r="S73" s="1">
        <v>492.54</v>
      </c>
      <c r="T73" s="1">
        <v>504.42</v>
      </c>
      <c r="U73" s="1">
        <v>463.31</v>
      </c>
      <c r="V73" s="1">
        <v>543.96</v>
      </c>
      <c r="W73" s="1">
        <v>550.41</v>
      </c>
      <c r="X73" s="1">
        <v>345.63</v>
      </c>
      <c r="Y73" s="1">
        <v>311.2</v>
      </c>
      <c r="Z73" s="1">
        <v>362.19</v>
      </c>
      <c r="AA73" s="1">
        <v>372.01</v>
      </c>
      <c r="AB73" t="s">
        <v>155</v>
      </c>
      <c r="AE73">
        <v>-0.66</v>
      </c>
      <c r="AF73">
        <v>7.5139999999999998E-2</v>
      </c>
      <c r="AG73">
        <v>0.13067000000000001</v>
      </c>
      <c r="AH73">
        <v>-0.23</v>
      </c>
      <c r="AI73">
        <v>-7.0000000000000007E-2</v>
      </c>
      <c r="AJ73">
        <v>-0.3</v>
      </c>
      <c r="AK73">
        <v>-0.71799999999999997</v>
      </c>
      <c r="AL73">
        <v>-0.71599999999999997</v>
      </c>
      <c r="AM73">
        <v>-0.71</v>
      </c>
      <c r="AN73">
        <v>-0.71</v>
      </c>
      <c r="AO73">
        <v>-0.71</v>
      </c>
      <c r="AP73">
        <v>-0.71</v>
      </c>
      <c r="AQ73">
        <v>-0.71</v>
      </c>
      <c r="AR73">
        <v>-0.71</v>
      </c>
      <c r="AS73">
        <v>-0.71</v>
      </c>
      <c r="AT73">
        <v>-0.71</v>
      </c>
      <c r="AU73">
        <v>-0.71</v>
      </c>
      <c r="AV73">
        <v>-0.71</v>
      </c>
      <c r="AW73">
        <v>0.15332000000000001</v>
      </c>
      <c r="AX73">
        <v>0.15</v>
      </c>
      <c r="AY73">
        <v>0.17</v>
      </c>
      <c r="AZ73">
        <v>0.15</v>
      </c>
      <c r="BA73">
        <v>0.15</v>
      </c>
      <c r="BB73">
        <v>0.15</v>
      </c>
      <c r="BC73">
        <v>0.17937</v>
      </c>
      <c r="BD73">
        <v>-0.51300000000000001</v>
      </c>
      <c r="BE73">
        <v>0.19395999999999999</v>
      </c>
      <c r="BF73">
        <v>0.19700000000000001</v>
      </c>
      <c r="BG73">
        <v>0.193</v>
      </c>
      <c r="BH73">
        <v>-0.04</v>
      </c>
      <c r="BI73">
        <v>-0.55800000000000005</v>
      </c>
      <c r="BJ73">
        <v>0.19400000000000001</v>
      </c>
    </row>
    <row r="74" spans="1:63" x14ac:dyDescent="0.25">
      <c r="A74" t="s">
        <v>156</v>
      </c>
      <c r="C74" s="1">
        <v>8553.5</v>
      </c>
      <c r="D74" s="1">
        <v>690.68</v>
      </c>
      <c r="E74" s="1">
        <v>913.32</v>
      </c>
      <c r="F74" s="1">
        <v>566.36</v>
      </c>
      <c r="G74" s="1">
        <v>692.95</v>
      </c>
      <c r="H74" s="1">
        <v>655.64</v>
      </c>
      <c r="I74" s="1">
        <v>433.52</v>
      </c>
      <c r="J74" s="1">
        <v>312.18</v>
      </c>
      <c r="K74" s="1">
        <v>185.38</v>
      </c>
      <c r="L74" s="1">
        <v>138.07</v>
      </c>
      <c r="M74" s="1">
        <v>180.76</v>
      </c>
      <c r="N74" s="1">
        <v>218.65</v>
      </c>
      <c r="O74" s="1">
        <v>141.86000000000001</v>
      </c>
      <c r="P74" s="1">
        <v>50.81</v>
      </c>
      <c r="Q74" s="1">
        <v>46.44</v>
      </c>
      <c r="R74" s="1">
        <v>65.94</v>
      </c>
      <c r="S74" s="1">
        <v>55.31</v>
      </c>
      <c r="T74" s="1">
        <v>4.46</v>
      </c>
      <c r="U74" s="1">
        <v>318.76</v>
      </c>
      <c r="V74" s="1">
        <v>393.73</v>
      </c>
      <c r="W74" s="1">
        <v>267.11</v>
      </c>
      <c r="X74" s="1">
        <v>481.63</v>
      </c>
      <c r="Y74" s="1">
        <v>609.66999999999996</v>
      </c>
      <c r="Z74" s="1">
        <v>513.09</v>
      </c>
      <c r="AA74" s="1">
        <v>617.17999999999995</v>
      </c>
      <c r="AB74" t="s">
        <v>156</v>
      </c>
      <c r="AE74">
        <v>0.11076</v>
      </c>
      <c r="AF74" t="s">
        <v>64</v>
      </c>
      <c r="AG74">
        <v>-1.4E-2</v>
      </c>
      <c r="AH74">
        <v>4.58E-2</v>
      </c>
      <c r="AI74">
        <v>1.9E-2</v>
      </c>
      <c r="AJ74">
        <v>-2.1000000000000001E-2</v>
      </c>
      <c r="AK74">
        <v>0.29043000000000002</v>
      </c>
      <c r="AL74">
        <v>0.23369999999999999</v>
      </c>
      <c r="AM74">
        <v>0.23300000000000001</v>
      </c>
      <c r="AN74">
        <v>0.2</v>
      </c>
      <c r="AO74">
        <v>0.23499999999999999</v>
      </c>
      <c r="AP74">
        <v>0.23499999999999999</v>
      </c>
      <c r="AQ74">
        <v>0.13500000000000001</v>
      </c>
      <c r="AR74">
        <v>0.22800000000000001</v>
      </c>
      <c r="AS74">
        <v>0.24399999999999999</v>
      </c>
      <c r="AT74">
        <v>0.246</v>
      </c>
      <c r="AU74">
        <v>0.23400000000000001</v>
      </c>
      <c r="AV74">
        <v>0.245</v>
      </c>
      <c r="AW74">
        <v>-1.9E-2</v>
      </c>
      <c r="AX74">
        <v>-1.9E-2</v>
      </c>
      <c r="AY74">
        <v>-2.7E-2</v>
      </c>
      <c r="AZ74">
        <v>-1.9E-2</v>
      </c>
      <c r="BA74">
        <v>-1.9E-2</v>
      </c>
      <c r="BB74">
        <v>-1.9E-2</v>
      </c>
      <c r="BC74">
        <v>-3.2000000000000001E-2</v>
      </c>
      <c r="BD74">
        <v>-5.2499999999999998E-2</v>
      </c>
      <c r="BE74">
        <v>-4.1000000000000002E-2</v>
      </c>
      <c r="BF74">
        <v>-4.3999999999999997E-2</v>
      </c>
      <c r="BG74">
        <v>-4.1000000000000002E-2</v>
      </c>
      <c r="BH74">
        <v>-4.5999999999999999E-2</v>
      </c>
      <c r="BI74">
        <v>-0.05</v>
      </c>
      <c r="BJ74">
        <v>-4.2000000000000003E-2</v>
      </c>
    </row>
    <row r="75" spans="1:63" x14ac:dyDescent="0.25">
      <c r="A75" t="s">
        <v>157</v>
      </c>
      <c r="C75" s="1">
        <v>8240.51</v>
      </c>
      <c r="D75" s="1"/>
      <c r="E75" s="1"/>
      <c r="F75" s="1"/>
      <c r="G75" s="1"/>
      <c r="H75" s="1"/>
      <c r="I75" s="1"/>
      <c r="J75" s="1"/>
      <c r="K75" s="1"/>
      <c r="L75" s="1">
        <v>12.28</v>
      </c>
      <c r="M75" s="1">
        <v>103.27</v>
      </c>
      <c r="N75" s="1">
        <v>347.58</v>
      </c>
      <c r="O75" s="1">
        <v>707.75</v>
      </c>
      <c r="P75" s="1">
        <v>1157.3900000000001</v>
      </c>
      <c r="Q75" s="1">
        <v>1481.45</v>
      </c>
      <c r="R75" s="1">
        <v>1161.23</v>
      </c>
      <c r="S75" s="1">
        <v>1166.1500000000001</v>
      </c>
      <c r="T75" s="1">
        <v>1051.01</v>
      </c>
      <c r="U75" s="1">
        <v>912</v>
      </c>
      <c r="V75" s="1">
        <v>140.4</v>
      </c>
      <c r="W75" s="1">
        <v>0</v>
      </c>
      <c r="X75" s="1">
        <v>0</v>
      </c>
      <c r="Y75" s="1"/>
      <c r="Z75" s="1"/>
      <c r="AA75" s="1"/>
      <c r="AB75" t="s">
        <v>157</v>
      </c>
      <c r="AE75">
        <v>-1.7000000000000001E-2</v>
      </c>
      <c r="AF75">
        <v>-7.22E-2</v>
      </c>
      <c r="AG75">
        <v>-7.6799999999999993E-2</v>
      </c>
      <c r="AH75">
        <v>-4.8000000000000001E-2</v>
      </c>
      <c r="AI75">
        <v>-5.9900000000000002E-2</v>
      </c>
      <c r="AJ75">
        <v>-3.4000000000000002E-2</v>
      </c>
      <c r="AK75">
        <v>-0.01</v>
      </c>
      <c r="AL75">
        <v>-1.2E-2</v>
      </c>
      <c r="AM75">
        <v>-1.2E-2</v>
      </c>
      <c r="AN75">
        <v>-1.4E-2</v>
      </c>
      <c r="AO75">
        <v>-1.2E-2</v>
      </c>
      <c r="AP75">
        <v>-1.2E-2</v>
      </c>
      <c r="AQ75" t="s">
        <v>64</v>
      </c>
      <c r="AR75">
        <v>-1.2999999999999999E-2</v>
      </c>
      <c r="AS75">
        <v>-1.0999999999999999E-2</v>
      </c>
      <c r="AT75">
        <v>-1.0999999999999999E-2</v>
      </c>
      <c r="AU75">
        <v>-1.2E-2</v>
      </c>
      <c r="AV75">
        <v>-1.0999999999999999E-2</v>
      </c>
      <c r="AW75">
        <v>-8.2299999999999998E-2</v>
      </c>
      <c r="AX75">
        <v>-8.1000000000000003E-2</v>
      </c>
      <c r="AY75">
        <v>-0.13</v>
      </c>
      <c r="AZ75">
        <v>-7.4999999999999997E-2</v>
      </c>
      <c r="BA75">
        <v>-8.4000000000000005E-2</v>
      </c>
      <c r="BB75">
        <v>-8.5000000000000006E-2</v>
      </c>
      <c r="BC75">
        <v>0.17580000000000001</v>
      </c>
      <c r="BD75" t="s">
        <v>64</v>
      </c>
      <c r="BE75">
        <v>0.03</v>
      </c>
      <c r="BF75">
        <v>0.02</v>
      </c>
      <c r="BG75">
        <v>0.03</v>
      </c>
      <c r="BH75">
        <v>0.01</v>
      </c>
      <c r="BI75" t="s">
        <v>64</v>
      </c>
      <c r="BJ75">
        <v>2.9000000000000001E-2</v>
      </c>
    </row>
    <row r="76" spans="1:63" x14ac:dyDescent="0.25">
      <c r="A76" t="s">
        <v>158</v>
      </c>
      <c r="C76" s="1">
        <v>8226.7800000000007</v>
      </c>
      <c r="D76" s="1">
        <v>399.38</v>
      </c>
      <c r="E76" s="1">
        <v>518.39</v>
      </c>
      <c r="F76" s="1">
        <v>696.91</v>
      </c>
      <c r="G76" s="1">
        <v>718.28</v>
      </c>
      <c r="H76" s="1">
        <v>687.65</v>
      </c>
      <c r="I76" s="1">
        <v>420.56</v>
      </c>
      <c r="J76" s="1">
        <v>390.56</v>
      </c>
      <c r="K76" s="1">
        <v>411.85</v>
      </c>
      <c r="L76" s="1">
        <v>126.06</v>
      </c>
      <c r="M76" s="1">
        <v>58.49</v>
      </c>
      <c r="N76" s="1">
        <v>29.41</v>
      </c>
      <c r="O76" s="1">
        <v>54.91</v>
      </c>
      <c r="P76" s="1">
        <v>53.22</v>
      </c>
      <c r="Q76" s="1">
        <v>64.290000000000006</v>
      </c>
      <c r="R76" s="1">
        <v>70.02</v>
      </c>
      <c r="S76" s="1">
        <v>93.44</v>
      </c>
      <c r="T76" s="1">
        <v>266.73</v>
      </c>
      <c r="U76" s="1">
        <v>559.70000000000005</v>
      </c>
      <c r="V76" s="1">
        <v>595.21</v>
      </c>
      <c r="W76" s="1">
        <v>527.86</v>
      </c>
      <c r="X76" s="1">
        <v>384.74</v>
      </c>
      <c r="Y76" s="1">
        <v>418.65</v>
      </c>
      <c r="Z76" s="1">
        <v>349.99</v>
      </c>
      <c r="AA76" s="1">
        <v>330.48</v>
      </c>
      <c r="AB76" t="s">
        <v>158</v>
      </c>
      <c r="AE76">
        <v>1.7000000000000001E-2</v>
      </c>
      <c r="AF76">
        <v>1.7000000000000001E-2</v>
      </c>
      <c r="AG76">
        <v>1.7000000000000001E-2</v>
      </c>
      <c r="AH76">
        <v>1.7000000000000001E-2</v>
      </c>
      <c r="AI76">
        <v>1.7000000000000001E-2</v>
      </c>
      <c r="AJ76">
        <v>1.7000000000000001E-2</v>
      </c>
      <c r="AK76">
        <v>1.7000000000000001E-2</v>
      </c>
      <c r="AL76">
        <v>1.7000000000000001E-2</v>
      </c>
      <c r="AM76">
        <v>1.7000000000000001E-2</v>
      </c>
      <c r="AN76">
        <v>1.7000000000000001E-2</v>
      </c>
      <c r="AO76">
        <v>1.7000000000000001E-2</v>
      </c>
      <c r="AP76">
        <v>1.7000000000000001E-2</v>
      </c>
      <c r="AQ76">
        <v>1.7000000000000001E-2</v>
      </c>
      <c r="AR76">
        <v>1.7000000000000001E-2</v>
      </c>
      <c r="AS76">
        <v>1.7000000000000001E-2</v>
      </c>
      <c r="AT76">
        <v>1.7000000000000001E-2</v>
      </c>
      <c r="AU76">
        <v>1.7000000000000001E-2</v>
      </c>
      <c r="AV76">
        <v>1.7000000000000001E-2</v>
      </c>
      <c r="AW76">
        <v>-0.98238999999999999</v>
      </c>
      <c r="AX76">
        <v>1.7000000000000001E-2</v>
      </c>
      <c r="AY76">
        <v>1.7000000000000001E-2</v>
      </c>
      <c r="AZ76">
        <v>1.7000000000000001E-2</v>
      </c>
      <c r="BA76">
        <v>1.7000000000000001E-2</v>
      </c>
      <c r="BB76">
        <v>1.7000000000000001E-2</v>
      </c>
      <c r="BC76">
        <v>1.7000000000000001E-2</v>
      </c>
      <c r="BD76">
        <v>1.7000000000000001E-2</v>
      </c>
      <c r="BE76">
        <v>1.7000000000000001E-2</v>
      </c>
      <c r="BF76">
        <v>1.7000000000000001E-2</v>
      </c>
      <c r="BG76">
        <v>1.7000000000000001E-2</v>
      </c>
      <c r="BH76">
        <v>1.7000000000000001E-2</v>
      </c>
      <c r="BI76">
        <v>1.7000000000000001E-2</v>
      </c>
      <c r="BJ76">
        <v>1.7000000000000001E-2</v>
      </c>
      <c r="BK76" t="s">
        <v>159</v>
      </c>
    </row>
    <row r="77" spans="1:63" x14ac:dyDescent="0.25">
      <c r="A77" t="s">
        <v>160</v>
      </c>
      <c r="C77" s="1">
        <v>7382.61</v>
      </c>
      <c r="D77" s="1"/>
      <c r="E77" s="1"/>
      <c r="F77" s="1"/>
      <c r="G77" s="1"/>
      <c r="H77" s="1"/>
      <c r="I77" s="1"/>
      <c r="J77" s="1"/>
      <c r="K77" s="1"/>
      <c r="L77" s="1">
        <v>0</v>
      </c>
      <c r="M77" s="1">
        <v>84.58</v>
      </c>
      <c r="N77" s="1">
        <v>146.97</v>
      </c>
      <c r="O77" s="1">
        <v>418.74</v>
      </c>
      <c r="P77" s="1">
        <v>190.76</v>
      </c>
      <c r="Q77" s="1">
        <v>313.14999999999998</v>
      </c>
      <c r="R77" s="1">
        <v>1109.71</v>
      </c>
      <c r="S77" s="1">
        <v>1286.8900000000001</v>
      </c>
      <c r="T77" s="1">
        <v>1136.01</v>
      </c>
      <c r="U77" s="1">
        <v>1253.05</v>
      </c>
      <c r="V77" s="1">
        <v>1270.56</v>
      </c>
      <c r="W77" s="1">
        <v>97.05</v>
      </c>
      <c r="X77" s="1">
        <v>0</v>
      </c>
      <c r="Y77" s="1"/>
      <c r="Z77" s="1">
        <v>38.590000000000003</v>
      </c>
      <c r="AA77" s="1">
        <v>36.549999999999997</v>
      </c>
      <c r="AB77" t="s">
        <v>160</v>
      </c>
      <c r="AE77">
        <v>-0.02</v>
      </c>
      <c r="AF77">
        <v>2.1000000000000001E-2</v>
      </c>
      <c r="AG77">
        <v>2.1999999999999999E-2</v>
      </c>
      <c r="AH77">
        <v>0.01</v>
      </c>
      <c r="AI77">
        <v>1.7000000000000001E-2</v>
      </c>
      <c r="AJ77">
        <v>-0.08</v>
      </c>
      <c r="AK77">
        <v>-2.1000000000000001E-2</v>
      </c>
      <c r="AL77">
        <v>-2.4E-2</v>
      </c>
      <c r="AM77">
        <v>-2.4E-2</v>
      </c>
      <c r="AN77">
        <v>-2.5999999999999999E-2</v>
      </c>
      <c r="AO77">
        <v>-2.4E-2</v>
      </c>
      <c r="AP77">
        <v>-2.4E-2</v>
      </c>
      <c r="AQ77">
        <v>-1.9E-2</v>
      </c>
      <c r="AR77">
        <v>-2.4E-2</v>
      </c>
      <c r="AS77">
        <v>-2.3E-2</v>
      </c>
      <c r="AT77">
        <v>-2.3E-2</v>
      </c>
      <c r="AU77">
        <v>-2.4E-2</v>
      </c>
      <c r="AV77">
        <v>-2.3E-2</v>
      </c>
      <c r="AW77">
        <v>2.1000000000000001E-2</v>
      </c>
      <c r="AX77">
        <v>2.1000000000000001E-2</v>
      </c>
      <c r="AY77">
        <v>0.01</v>
      </c>
      <c r="AZ77">
        <v>2.3E-2</v>
      </c>
      <c r="BA77">
        <v>2.1000000000000001E-2</v>
      </c>
      <c r="BB77">
        <v>0.02</v>
      </c>
      <c r="BC77" t="s">
        <v>64</v>
      </c>
      <c r="BD77">
        <v>-0.01</v>
      </c>
      <c r="BE77" t="s">
        <v>64</v>
      </c>
      <c r="BF77" t="s">
        <v>64</v>
      </c>
      <c r="BG77" t="s">
        <v>64</v>
      </c>
      <c r="BH77">
        <v>-0.01</v>
      </c>
      <c r="BI77">
        <v>-1.2E-2</v>
      </c>
      <c r="BJ77" t="s">
        <v>64</v>
      </c>
    </row>
    <row r="78" spans="1:63" x14ac:dyDescent="0.25">
      <c r="A78" t="s">
        <v>161</v>
      </c>
      <c r="C78" s="1">
        <v>7124.47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9.73</v>
      </c>
      <c r="K78" s="1">
        <v>70.239999999999995</v>
      </c>
      <c r="L78" s="1">
        <v>108.05</v>
      </c>
      <c r="M78" s="1">
        <v>430.43</v>
      </c>
      <c r="N78" s="1">
        <v>586.6</v>
      </c>
      <c r="O78" s="1">
        <v>654.15</v>
      </c>
      <c r="P78" s="1">
        <v>711.33</v>
      </c>
      <c r="Q78" s="1">
        <v>1213.93</v>
      </c>
      <c r="R78" s="1">
        <v>953.06</v>
      </c>
      <c r="S78" s="1">
        <v>759.19</v>
      </c>
      <c r="T78" s="1">
        <v>584.9</v>
      </c>
      <c r="U78" s="1">
        <v>370.49</v>
      </c>
      <c r="V78" s="1">
        <v>303.76</v>
      </c>
      <c r="W78" s="1">
        <v>191.08</v>
      </c>
      <c r="X78" s="1">
        <v>102.21</v>
      </c>
      <c r="Y78" s="1">
        <v>3.01</v>
      </c>
      <c r="Z78" s="1">
        <v>66.5</v>
      </c>
      <c r="AA78" s="1">
        <v>5.81</v>
      </c>
      <c r="AB78" t="s">
        <v>161</v>
      </c>
      <c r="AE78">
        <v>-7.1999999999999995E-2</v>
      </c>
      <c r="AF78">
        <v>-0.01</v>
      </c>
      <c r="AG78" t="s">
        <v>64</v>
      </c>
      <c r="AH78">
        <v>-2.5000000000000001E-2</v>
      </c>
      <c r="AI78">
        <v>-1.7999999999999999E-2</v>
      </c>
      <c r="AJ78">
        <v>-3.5000000000000003E-2</v>
      </c>
      <c r="AK78">
        <v>-4.5999999999999999E-2</v>
      </c>
      <c r="AL78">
        <v>-4.2999999999999997E-2</v>
      </c>
      <c r="AM78">
        <v>-4.3999999999999997E-2</v>
      </c>
      <c r="AN78">
        <v>-4.2000000000000003E-2</v>
      </c>
      <c r="AO78">
        <v>-4.3999999999999997E-2</v>
      </c>
      <c r="AP78">
        <v>-4.3999999999999997E-2</v>
      </c>
      <c r="AQ78">
        <v>-4.8000000000000001E-2</v>
      </c>
      <c r="AR78">
        <v>-4.2999999999999997E-2</v>
      </c>
      <c r="AS78">
        <v>-4.3999999999999997E-2</v>
      </c>
      <c r="AT78">
        <v>-4.3999999999999997E-2</v>
      </c>
      <c r="AU78">
        <v>-4.3999999999999997E-2</v>
      </c>
      <c r="AV78">
        <v>-4.3999999999999997E-2</v>
      </c>
      <c r="AW78" t="s">
        <v>64</v>
      </c>
      <c r="AX78" t="s">
        <v>64</v>
      </c>
      <c r="AY78">
        <v>2.1000000000000001E-2</v>
      </c>
      <c r="AZ78" t="s">
        <v>64</v>
      </c>
      <c r="BA78" t="s">
        <v>64</v>
      </c>
      <c r="BB78" t="s">
        <v>64</v>
      </c>
      <c r="BC78">
        <v>0.10340000000000001</v>
      </c>
      <c r="BD78">
        <v>-5.2999999999999999E-2</v>
      </c>
      <c r="BE78">
        <v>-6.3E-2</v>
      </c>
      <c r="BF78">
        <v>-0.06</v>
      </c>
      <c r="BG78">
        <v>-0.06</v>
      </c>
      <c r="BH78">
        <v>-5.7000000000000002E-2</v>
      </c>
      <c r="BI78">
        <v>-5.5800000000000002E-2</v>
      </c>
      <c r="BJ78">
        <v>-6.2E-2</v>
      </c>
    </row>
    <row r="79" spans="1:63" x14ac:dyDescent="0.25">
      <c r="A79" t="s">
        <v>162</v>
      </c>
      <c r="C79" s="1">
        <v>6622.44</v>
      </c>
      <c r="D79" s="1">
        <v>328.54</v>
      </c>
      <c r="E79" s="1">
        <v>399.76</v>
      </c>
      <c r="F79" s="1">
        <v>211.03</v>
      </c>
      <c r="G79" s="1">
        <v>237.85</v>
      </c>
      <c r="H79" s="1">
        <v>108.36</v>
      </c>
      <c r="I79" s="1">
        <v>10.8</v>
      </c>
      <c r="J79" s="1">
        <v>18.63</v>
      </c>
      <c r="K79" s="1">
        <v>0.33</v>
      </c>
      <c r="L79" s="1">
        <v>1.57</v>
      </c>
      <c r="M79" s="1">
        <v>59.39</v>
      </c>
      <c r="N79" s="1">
        <v>134.47999999999999</v>
      </c>
      <c r="O79" s="1">
        <v>102.48</v>
      </c>
      <c r="P79" s="1">
        <v>161.4</v>
      </c>
      <c r="Q79" s="1">
        <v>216.4</v>
      </c>
      <c r="R79" s="1">
        <v>206.62</v>
      </c>
      <c r="S79" s="1">
        <v>472.99</v>
      </c>
      <c r="T79" s="1">
        <v>429.71</v>
      </c>
      <c r="U79" s="1">
        <v>357.27</v>
      </c>
      <c r="V79" s="1">
        <v>513.70000000000005</v>
      </c>
      <c r="W79" s="1">
        <v>797.81</v>
      </c>
      <c r="X79" s="1">
        <v>533.20000000000005</v>
      </c>
      <c r="Y79" s="1">
        <v>555.47</v>
      </c>
      <c r="Z79" s="1">
        <v>499.84</v>
      </c>
      <c r="AA79" s="1">
        <v>264.81</v>
      </c>
      <c r="AB79" t="s">
        <v>163</v>
      </c>
      <c r="AE79" t="s">
        <v>64</v>
      </c>
      <c r="AF79">
        <v>-2.5999999999999999E-2</v>
      </c>
      <c r="AG79">
        <v>-3.6999999999999998E-2</v>
      </c>
      <c r="AH79" t="s">
        <v>64</v>
      </c>
      <c r="AI79">
        <v>-1.4999999999999999E-2</v>
      </c>
      <c r="AJ79" t="s">
        <v>64</v>
      </c>
      <c r="AK79" t="s">
        <v>64</v>
      </c>
      <c r="AL79" t="s">
        <v>64</v>
      </c>
      <c r="AM79" t="s">
        <v>64</v>
      </c>
      <c r="AN79" t="s">
        <v>64</v>
      </c>
      <c r="AO79" t="s">
        <v>64</v>
      </c>
      <c r="AP79" t="s">
        <v>64</v>
      </c>
      <c r="AQ79" t="s">
        <v>64</v>
      </c>
      <c r="AR79" t="s">
        <v>64</v>
      </c>
      <c r="AS79" t="s">
        <v>64</v>
      </c>
      <c r="AT79" t="s">
        <v>64</v>
      </c>
      <c r="AU79" t="s">
        <v>64</v>
      </c>
      <c r="AV79" t="s">
        <v>64</v>
      </c>
      <c r="AW79">
        <v>-9.0999999999999998E-2</v>
      </c>
      <c r="AX79">
        <v>-8.7999999999999995E-2</v>
      </c>
      <c r="AY79">
        <v>4.5999999999999999E-2</v>
      </c>
      <c r="AZ79" t="s">
        <v>64</v>
      </c>
      <c r="BA79">
        <v>-6.2E-2</v>
      </c>
      <c r="BB79">
        <v>-0.11</v>
      </c>
      <c r="BC79">
        <v>1.0999999999999999E-2</v>
      </c>
      <c r="BD79" t="s">
        <v>64</v>
      </c>
      <c r="BE79" t="s">
        <v>64</v>
      </c>
      <c r="BF79" t="s">
        <v>64</v>
      </c>
      <c r="BG79" t="s">
        <v>64</v>
      </c>
      <c r="BH79" t="s">
        <v>64</v>
      </c>
      <c r="BI79" t="s">
        <v>64</v>
      </c>
      <c r="BJ79" t="s">
        <v>64</v>
      </c>
    </row>
    <row r="80" spans="1:63" x14ac:dyDescent="0.25">
      <c r="A80" t="s">
        <v>164</v>
      </c>
      <c r="C80" s="1">
        <v>6604.19</v>
      </c>
      <c r="D80" s="1">
        <v>537.33000000000004</v>
      </c>
      <c r="E80" s="1">
        <v>502.08</v>
      </c>
      <c r="F80" s="1">
        <v>503.4</v>
      </c>
      <c r="G80" s="1">
        <v>628.49</v>
      </c>
      <c r="H80" s="1">
        <v>423.75</v>
      </c>
      <c r="I80" s="1">
        <v>55.46</v>
      </c>
      <c r="J80" s="1">
        <v>7.97</v>
      </c>
      <c r="K80" s="1">
        <v>1.1299999999999999</v>
      </c>
      <c r="L80" s="1">
        <v>2.41</v>
      </c>
      <c r="M80" s="1">
        <v>4.71</v>
      </c>
      <c r="N80" s="1">
        <v>11.62</v>
      </c>
      <c r="O80" s="1">
        <v>18.760000000000002</v>
      </c>
      <c r="P80" s="1">
        <v>87.43</v>
      </c>
      <c r="Q80" s="1">
        <v>22.01</v>
      </c>
      <c r="R80" s="1">
        <v>0</v>
      </c>
      <c r="S80" s="1">
        <v>46.05</v>
      </c>
      <c r="T80" s="1">
        <v>3.53</v>
      </c>
      <c r="U80" s="1">
        <v>123.72</v>
      </c>
      <c r="V80" s="1">
        <v>498.52</v>
      </c>
      <c r="W80" s="1">
        <v>714.86</v>
      </c>
      <c r="X80" s="1">
        <v>1368.75</v>
      </c>
      <c r="Y80" s="1">
        <v>571.11</v>
      </c>
      <c r="Z80" s="1">
        <v>218.81</v>
      </c>
      <c r="AA80" s="1">
        <v>252.29</v>
      </c>
      <c r="AB80" t="s">
        <v>164</v>
      </c>
      <c r="AE80" t="s">
        <v>64</v>
      </c>
      <c r="AF80">
        <v>-9.3200000000000005E-2</v>
      </c>
      <c r="AG80">
        <v>-9.9699999999999997E-2</v>
      </c>
      <c r="AH80">
        <v>-0.05</v>
      </c>
      <c r="AI80">
        <v>-7.3700000000000002E-2</v>
      </c>
      <c r="AJ80">
        <v>-6.0999999999999999E-2</v>
      </c>
      <c r="AK80">
        <v>0.02</v>
      </c>
      <c r="AL80">
        <v>0.02</v>
      </c>
      <c r="AM80">
        <v>0.02</v>
      </c>
      <c r="AN80">
        <v>0.02</v>
      </c>
      <c r="AO80">
        <v>0.02</v>
      </c>
      <c r="AP80">
        <v>0.02</v>
      </c>
      <c r="AQ80">
        <v>3.2000000000000001E-2</v>
      </c>
      <c r="AR80">
        <v>0.02</v>
      </c>
      <c r="AS80">
        <v>0.02</v>
      </c>
      <c r="AT80">
        <v>0.02</v>
      </c>
      <c r="AU80">
        <v>0.02</v>
      </c>
      <c r="AV80">
        <v>0.02</v>
      </c>
      <c r="AW80">
        <v>-9.9099999999999994E-2</v>
      </c>
      <c r="AX80">
        <v>-9.9000000000000005E-2</v>
      </c>
      <c r="AY80">
        <v>-7.6999999999999999E-2</v>
      </c>
      <c r="AZ80">
        <v>-0.1</v>
      </c>
      <c r="BA80">
        <v>-0.1</v>
      </c>
      <c r="BB80">
        <v>-9.6000000000000002E-2</v>
      </c>
      <c r="BC80">
        <v>-4.4999999999999998E-2</v>
      </c>
      <c r="BD80">
        <v>7.0999999999999994E-2</v>
      </c>
      <c r="BE80">
        <v>8.2000000000000003E-2</v>
      </c>
      <c r="BF80">
        <v>9.6000000000000002E-2</v>
      </c>
      <c r="BG80">
        <v>8.2000000000000003E-2</v>
      </c>
      <c r="BH80">
        <v>0.1</v>
      </c>
      <c r="BI80">
        <v>8.1000000000000003E-2</v>
      </c>
      <c r="BJ80">
        <v>8.7999999999999995E-2</v>
      </c>
    </row>
    <row r="81" spans="1:63" x14ac:dyDescent="0.25">
      <c r="A81" t="s">
        <v>165</v>
      </c>
      <c r="C81" s="1">
        <v>6314.84</v>
      </c>
      <c r="D81" s="1">
        <v>80.19</v>
      </c>
      <c r="E81" s="1">
        <v>504.65</v>
      </c>
      <c r="F81" s="1">
        <v>519.83000000000004</v>
      </c>
      <c r="G81" s="1">
        <v>920.93</v>
      </c>
      <c r="H81" s="1">
        <v>803.16</v>
      </c>
      <c r="I81" s="1">
        <v>883.55</v>
      </c>
      <c r="J81" s="1">
        <v>477.4</v>
      </c>
      <c r="K81" s="1">
        <v>519.91999999999996</v>
      </c>
      <c r="L81" s="1">
        <v>485.09</v>
      </c>
      <c r="M81" s="1">
        <v>206.6</v>
      </c>
      <c r="N81" s="1">
        <v>275.08</v>
      </c>
      <c r="O81" s="1">
        <v>131.16999999999999</v>
      </c>
      <c r="P81" s="1">
        <v>13.62</v>
      </c>
      <c r="Q81" s="1">
        <v>0.87</v>
      </c>
      <c r="R81" s="1">
        <v>0</v>
      </c>
      <c r="S81" s="1">
        <v>7.02</v>
      </c>
      <c r="T81" s="1">
        <v>146.1</v>
      </c>
      <c r="U81" s="1">
        <v>10.1</v>
      </c>
      <c r="V81" s="1">
        <v>146.16</v>
      </c>
      <c r="W81" s="1">
        <v>158.69999999999999</v>
      </c>
      <c r="X81" s="1">
        <v>9.0500000000000007</v>
      </c>
      <c r="Y81" s="1">
        <v>15.64</v>
      </c>
      <c r="Z81" s="1">
        <v>0.01</v>
      </c>
      <c r="AA81" s="1">
        <v>0</v>
      </c>
      <c r="AB81" s="4" t="s">
        <v>165</v>
      </c>
      <c r="AE81" t="s">
        <v>64</v>
      </c>
      <c r="AF81">
        <v>-9.2319999999999999E-2</v>
      </c>
      <c r="AG81">
        <v>-4.4240000000000002E-2</v>
      </c>
      <c r="AH81">
        <v>0.40193000000000001</v>
      </c>
      <c r="AI81" t="s">
        <v>64</v>
      </c>
      <c r="AJ81" t="s">
        <v>64</v>
      </c>
      <c r="AK81">
        <v>2.1999999999999999E-2</v>
      </c>
      <c r="AL81">
        <v>2.5000000000000001E-2</v>
      </c>
      <c r="AM81">
        <v>2.5000000000000001E-2</v>
      </c>
      <c r="AN81">
        <v>2.7E-2</v>
      </c>
      <c r="AO81">
        <v>2.5000000000000001E-2</v>
      </c>
      <c r="AP81">
        <v>2.5000000000000001E-2</v>
      </c>
      <c r="AQ81">
        <v>0.02</v>
      </c>
      <c r="AR81">
        <v>0.03</v>
      </c>
      <c r="AS81">
        <v>2.4E-2</v>
      </c>
      <c r="AT81">
        <v>2.4E-2</v>
      </c>
      <c r="AU81" t="s">
        <v>64</v>
      </c>
      <c r="AV81">
        <v>2.4E-2</v>
      </c>
      <c r="AW81">
        <v>-0.02</v>
      </c>
      <c r="AX81">
        <v>-2.3E-2</v>
      </c>
      <c r="AY81" t="s">
        <v>64</v>
      </c>
      <c r="AZ81" t="s">
        <v>64</v>
      </c>
      <c r="BA81" t="s">
        <v>64</v>
      </c>
      <c r="BB81">
        <v>-1.9E-2</v>
      </c>
      <c r="BC81" t="s">
        <v>64</v>
      </c>
      <c r="BD81">
        <v>0.01</v>
      </c>
      <c r="BE81" t="s">
        <v>64</v>
      </c>
      <c r="BF81" t="s">
        <v>64</v>
      </c>
      <c r="BG81" t="s">
        <v>64</v>
      </c>
      <c r="BH81" t="s">
        <v>64</v>
      </c>
      <c r="BI81" t="s">
        <v>64</v>
      </c>
      <c r="BJ81" t="s">
        <v>64</v>
      </c>
      <c r="BK81" t="s">
        <v>166</v>
      </c>
    </row>
    <row r="82" spans="1:63" x14ac:dyDescent="0.25">
      <c r="A82" t="s">
        <v>167</v>
      </c>
      <c r="C82" s="1">
        <v>6210.06</v>
      </c>
      <c r="D82" s="1"/>
      <c r="E82" s="1"/>
      <c r="F82" s="1"/>
      <c r="G82" s="1"/>
      <c r="H82" s="1"/>
      <c r="I82" s="1"/>
      <c r="J82" s="1"/>
      <c r="K82" s="1"/>
      <c r="L82" s="1">
        <v>35.700000000000003</v>
      </c>
      <c r="M82" s="1">
        <v>408.95</v>
      </c>
      <c r="N82" s="1">
        <v>620.48</v>
      </c>
      <c r="O82" s="1">
        <v>780.93</v>
      </c>
      <c r="P82" s="1">
        <v>760.18</v>
      </c>
      <c r="Q82" s="1">
        <v>740.94</v>
      </c>
      <c r="R82" s="1">
        <v>782.2</v>
      </c>
      <c r="S82" s="1">
        <v>787.55</v>
      </c>
      <c r="T82" s="1">
        <v>842.48</v>
      </c>
      <c r="U82" s="1">
        <v>444.95</v>
      </c>
      <c r="V82" s="1">
        <v>5.7</v>
      </c>
      <c r="W82" s="1">
        <v>0</v>
      </c>
      <c r="X82" s="1">
        <v>0</v>
      </c>
      <c r="Y82" s="1">
        <v>0</v>
      </c>
      <c r="Z82" s="1"/>
      <c r="AA82" s="1"/>
      <c r="AB82" t="s">
        <v>167</v>
      </c>
      <c r="AE82">
        <v>-2.1000000000000001E-2</v>
      </c>
      <c r="AF82" t="s">
        <v>64</v>
      </c>
      <c r="AG82" t="s">
        <v>64</v>
      </c>
      <c r="AH82" t="s">
        <v>64</v>
      </c>
      <c r="AI82">
        <v>-1.2E-2</v>
      </c>
      <c r="AJ82" t="s">
        <v>64</v>
      </c>
      <c r="AK82">
        <v>2.5000000000000001E-2</v>
      </c>
      <c r="AL82">
        <v>0.32600000000000001</v>
      </c>
      <c r="AM82">
        <v>0.12959999999999999</v>
      </c>
      <c r="AN82">
        <v>-0.1</v>
      </c>
      <c r="AO82">
        <v>0.20100000000000001</v>
      </c>
      <c r="AP82">
        <v>0.20100000000000001</v>
      </c>
      <c r="AQ82" t="s">
        <v>64</v>
      </c>
      <c r="AR82">
        <v>-6.0999999999999999E-2</v>
      </c>
      <c r="AS82">
        <v>9.6000000000000002E-2</v>
      </c>
      <c r="AT82">
        <v>8.5999999999999993E-2</v>
      </c>
      <c r="AU82">
        <v>0.11700000000000001</v>
      </c>
      <c r="AV82">
        <v>7.9000000000000001E-2</v>
      </c>
      <c r="AW82" t="s">
        <v>64</v>
      </c>
      <c r="AX82" t="s">
        <v>64</v>
      </c>
      <c r="AY82" t="s">
        <v>64</v>
      </c>
      <c r="AZ82" t="s">
        <v>64</v>
      </c>
      <c r="BA82" t="s">
        <v>64</v>
      </c>
      <c r="BB82" t="s">
        <v>64</v>
      </c>
      <c r="BC82" t="s">
        <v>64</v>
      </c>
      <c r="BD82" t="s">
        <v>64</v>
      </c>
      <c r="BE82" t="s">
        <v>64</v>
      </c>
      <c r="BF82" t="s">
        <v>64</v>
      </c>
      <c r="BG82" t="s">
        <v>64</v>
      </c>
      <c r="BH82" t="s">
        <v>64</v>
      </c>
      <c r="BI82" t="s">
        <v>64</v>
      </c>
      <c r="BJ82" t="s">
        <v>64</v>
      </c>
      <c r="BK82" t="s">
        <v>168</v>
      </c>
    </row>
    <row r="83" spans="1:63" x14ac:dyDescent="0.25">
      <c r="A83" t="s">
        <v>169</v>
      </c>
      <c r="C83" s="1">
        <v>5230.46</v>
      </c>
      <c r="D83" s="1">
        <v>725.75</v>
      </c>
      <c r="E83" s="1">
        <v>1151.6500000000001</v>
      </c>
      <c r="F83" s="1">
        <v>937.69</v>
      </c>
      <c r="G83" s="1">
        <v>1075.0999999999999</v>
      </c>
      <c r="H83" s="1"/>
      <c r="I83" s="1">
        <v>0</v>
      </c>
      <c r="J83" s="1">
        <v>11.75</v>
      </c>
      <c r="K83" s="1"/>
      <c r="L83" s="1"/>
      <c r="M83" s="1"/>
      <c r="N83" s="1"/>
      <c r="O83" s="1"/>
      <c r="P83" s="1"/>
      <c r="Q83" s="1"/>
      <c r="R83" s="1"/>
      <c r="S83" s="1"/>
      <c r="T83" s="1">
        <v>0</v>
      </c>
      <c r="U83" s="1">
        <v>116.26</v>
      </c>
      <c r="V83" s="1">
        <v>259.39</v>
      </c>
      <c r="W83" s="1">
        <v>95.37</v>
      </c>
      <c r="X83" s="1"/>
      <c r="Y83" s="1">
        <v>69</v>
      </c>
      <c r="Z83" s="1">
        <v>344.07</v>
      </c>
      <c r="AA83" s="1">
        <v>444.43</v>
      </c>
      <c r="AB83" s="4" t="s">
        <v>169</v>
      </c>
      <c r="AE83">
        <v>5.2560000000000003E-2</v>
      </c>
      <c r="AF83">
        <v>-8.9359999999999995E-2</v>
      </c>
      <c r="AG83">
        <v>-3.7699999999999997E-2</v>
      </c>
      <c r="AH83">
        <v>0.40279999999999999</v>
      </c>
      <c r="AI83">
        <v>-0.25822000000000001</v>
      </c>
      <c r="AJ83">
        <v>0.01</v>
      </c>
      <c r="AK83">
        <v>1.6E-2</v>
      </c>
      <c r="AL83">
        <v>1.7999999999999999E-2</v>
      </c>
      <c r="AM83">
        <v>1.7000000000000001E-2</v>
      </c>
      <c r="AN83">
        <v>1.7000000000000001E-2</v>
      </c>
      <c r="AO83">
        <v>1.7000000000000001E-2</v>
      </c>
      <c r="AP83">
        <v>1.7000000000000001E-2</v>
      </c>
      <c r="AQ83">
        <v>1.7000000000000001E-2</v>
      </c>
      <c r="AR83">
        <v>1.7000000000000001E-2</v>
      </c>
      <c r="AS83">
        <v>1.7000000000000001E-2</v>
      </c>
      <c r="AT83">
        <v>1.7000000000000001E-2</v>
      </c>
      <c r="AU83">
        <v>1.7000000000000001E-2</v>
      </c>
      <c r="AV83">
        <v>1.7000000000000001E-2</v>
      </c>
      <c r="AW83">
        <v>-1.6E-2</v>
      </c>
      <c r="AX83">
        <v>-1.7500000000000002E-2</v>
      </c>
      <c r="AY83" t="s">
        <v>64</v>
      </c>
      <c r="AZ83">
        <v>-1.7000000000000001E-2</v>
      </c>
      <c r="BA83">
        <v>-1.4999999999999999E-2</v>
      </c>
      <c r="BB83">
        <v>-1.38E-2</v>
      </c>
      <c r="BC83" t="s">
        <v>64</v>
      </c>
      <c r="BD83" t="s">
        <v>64</v>
      </c>
      <c r="BE83" t="s">
        <v>64</v>
      </c>
      <c r="BF83" t="s">
        <v>64</v>
      </c>
      <c r="BG83" t="s">
        <v>64</v>
      </c>
      <c r="BH83" t="s">
        <v>64</v>
      </c>
      <c r="BI83" t="s">
        <v>64</v>
      </c>
      <c r="BJ83" t="s">
        <v>64</v>
      </c>
      <c r="BK83" t="s">
        <v>170</v>
      </c>
    </row>
    <row r="84" spans="1:63" x14ac:dyDescent="0.25">
      <c r="A84" t="s">
        <v>171</v>
      </c>
      <c r="C84" s="1">
        <v>5229.0200000000004</v>
      </c>
      <c r="D84" s="1">
        <v>0</v>
      </c>
      <c r="E84" s="1">
        <v>0</v>
      </c>
      <c r="F84" s="1"/>
      <c r="G84" s="1"/>
      <c r="H84" s="1"/>
      <c r="I84" s="1"/>
      <c r="J84" s="1"/>
      <c r="K84" s="1"/>
      <c r="L84" s="1">
        <v>3.49</v>
      </c>
      <c r="M84" s="1">
        <v>41.95</v>
      </c>
      <c r="N84" s="1">
        <v>116.31</v>
      </c>
      <c r="O84" s="1">
        <v>197.46</v>
      </c>
      <c r="P84" s="1">
        <v>416.6</v>
      </c>
      <c r="Q84" s="1">
        <v>275.95</v>
      </c>
      <c r="R84" s="1">
        <v>511.87</v>
      </c>
      <c r="S84" s="1">
        <v>590.34</v>
      </c>
      <c r="T84" s="1">
        <v>737.91</v>
      </c>
      <c r="U84" s="1">
        <v>933.73</v>
      </c>
      <c r="V84" s="1">
        <v>1278.3699999999999</v>
      </c>
      <c r="W84" s="1">
        <v>125.04</v>
      </c>
      <c r="X84" s="1">
        <v>0</v>
      </c>
      <c r="Y84" s="1">
        <v>0</v>
      </c>
      <c r="Z84" s="1">
        <v>0</v>
      </c>
      <c r="AA84" s="1">
        <v>0</v>
      </c>
      <c r="AB84" t="s">
        <v>171</v>
      </c>
      <c r="AE84" t="s">
        <v>64</v>
      </c>
      <c r="AF84">
        <v>-3.9609999999999999E-2</v>
      </c>
      <c r="AG84">
        <v>-4.3520000000000003E-2</v>
      </c>
      <c r="AH84">
        <v>-2.5999999999999999E-2</v>
      </c>
      <c r="AI84">
        <v>-0.32600000000000001</v>
      </c>
      <c r="AJ84">
        <v>-1.9E-2</v>
      </c>
      <c r="AK84" t="s">
        <v>64</v>
      </c>
      <c r="AL84" t="s">
        <v>64</v>
      </c>
      <c r="AM84" t="s">
        <v>64</v>
      </c>
      <c r="AN84" t="s">
        <v>64</v>
      </c>
      <c r="AO84" t="s">
        <v>64</v>
      </c>
      <c r="AP84" t="s">
        <v>64</v>
      </c>
      <c r="AQ84" t="s">
        <v>64</v>
      </c>
      <c r="AR84" t="s">
        <v>64</v>
      </c>
      <c r="AS84" t="s">
        <v>64</v>
      </c>
      <c r="AT84" t="s">
        <v>64</v>
      </c>
      <c r="AU84" t="s">
        <v>64</v>
      </c>
      <c r="AV84" t="s">
        <v>64</v>
      </c>
      <c r="AW84">
        <v>-4.9000000000000002E-2</v>
      </c>
      <c r="AX84">
        <v>-4.8000000000000001E-2</v>
      </c>
      <c r="AY84">
        <v>-5.8000000000000003E-2</v>
      </c>
      <c r="AZ84">
        <v>-0.04</v>
      </c>
      <c r="BA84">
        <v>-4.7E-2</v>
      </c>
      <c r="BB84">
        <v>-5.0999999999999997E-2</v>
      </c>
      <c r="BC84">
        <v>2.3E-2</v>
      </c>
      <c r="BD84" t="s">
        <v>64</v>
      </c>
      <c r="BE84">
        <v>0.01</v>
      </c>
      <c r="BF84" t="s">
        <v>64</v>
      </c>
      <c r="BG84">
        <v>0.01</v>
      </c>
      <c r="BH84" t="s">
        <v>64</v>
      </c>
      <c r="BI84" t="s">
        <v>64</v>
      </c>
      <c r="BJ84">
        <v>0.01</v>
      </c>
    </row>
    <row r="85" spans="1:63" x14ac:dyDescent="0.25">
      <c r="A85" t="s">
        <v>172</v>
      </c>
      <c r="C85" s="1">
        <v>5209.0200000000004</v>
      </c>
      <c r="D85" s="1"/>
      <c r="E85" s="1"/>
      <c r="F85" s="1"/>
      <c r="G85" s="1"/>
      <c r="H85" s="1"/>
      <c r="I85" s="1"/>
      <c r="J85" s="1"/>
      <c r="K85" s="1"/>
      <c r="L85" s="1"/>
      <c r="M85" s="1"/>
      <c r="N85" s="1">
        <v>125.93</v>
      </c>
      <c r="O85" s="1">
        <v>368.42</v>
      </c>
      <c r="P85" s="1">
        <v>623.28</v>
      </c>
      <c r="Q85" s="1">
        <v>1056.53</v>
      </c>
      <c r="R85" s="1">
        <v>1008.82</v>
      </c>
      <c r="S85" s="1">
        <v>1042.4100000000001</v>
      </c>
      <c r="T85" s="1">
        <v>727.44</v>
      </c>
      <c r="U85" s="1">
        <v>256.19</v>
      </c>
      <c r="V85" s="1">
        <v>0</v>
      </c>
      <c r="W85" s="1">
        <v>0</v>
      </c>
      <c r="X85" s="1"/>
      <c r="Y85" s="1"/>
      <c r="Z85" s="1"/>
      <c r="AA85" s="1"/>
      <c r="AB85" t="s">
        <v>172</v>
      </c>
      <c r="AE85">
        <v>-1.9E-2</v>
      </c>
      <c r="AF85">
        <v>-0.06</v>
      </c>
      <c r="AG85">
        <v>-0.01</v>
      </c>
      <c r="AH85">
        <v>-0.15515000000000001</v>
      </c>
      <c r="AI85">
        <v>-0.18204999999999999</v>
      </c>
      <c r="AJ85" t="s">
        <v>64</v>
      </c>
      <c r="AK85" t="s">
        <v>64</v>
      </c>
      <c r="AL85" t="s">
        <v>64</v>
      </c>
      <c r="AM85" t="s">
        <v>64</v>
      </c>
      <c r="AN85" t="s">
        <v>64</v>
      </c>
      <c r="AO85" t="s">
        <v>64</v>
      </c>
      <c r="AP85" t="s">
        <v>64</v>
      </c>
      <c r="AQ85" t="s">
        <v>64</v>
      </c>
      <c r="AR85" t="s">
        <v>64</v>
      </c>
      <c r="AS85" t="s">
        <v>64</v>
      </c>
      <c r="AT85" t="s">
        <v>64</v>
      </c>
      <c r="AU85" t="s">
        <v>64</v>
      </c>
      <c r="AV85" t="s">
        <v>64</v>
      </c>
      <c r="AW85" t="s">
        <v>64</v>
      </c>
      <c r="AX85" t="s">
        <v>64</v>
      </c>
      <c r="AY85" t="s">
        <v>64</v>
      </c>
      <c r="AZ85" t="s">
        <v>64</v>
      </c>
      <c r="BA85" t="s">
        <v>64</v>
      </c>
      <c r="BB85" t="s">
        <v>64</v>
      </c>
      <c r="BC85" t="s">
        <v>64</v>
      </c>
      <c r="BD85" t="s">
        <v>64</v>
      </c>
      <c r="BE85" t="s">
        <v>64</v>
      </c>
      <c r="BF85" t="s">
        <v>64</v>
      </c>
      <c r="BG85" t="s">
        <v>64</v>
      </c>
      <c r="BH85" t="s">
        <v>64</v>
      </c>
      <c r="BI85" t="s">
        <v>64</v>
      </c>
      <c r="BJ85" t="s">
        <v>64</v>
      </c>
    </row>
    <row r="86" spans="1:63" x14ac:dyDescent="0.25">
      <c r="A86" t="s">
        <v>173</v>
      </c>
      <c r="C86" s="1">
        <v>5037.87</v>
      </c>
      <c r="D86" s="1">
        <v>18.260000000000002</v>
      </c>
      <c r="E86" s="1">
        <v>8.08</v>
      </c>
      <c r="F86" s="1">
        <v>0</v>
      </c>
      <c r="G86" s="1"/>
      <c r="H86" s="1"/>
      <c r="I86" s="1"/>
      <c r="J86" s="1"/>
      <c r="K86" s="1"/>
      <c r="L86" s="1"/>
      <c r="M86" s="1">
        <v>21.97</v>
      </c>
      <c r="N86" s="1">
        <v>92.35</v>
      </c>
      <c r="O86" s="1">
        <v>362.5</v>
      </c>
      <c r="P86" s="1">
        <v>448.41</v>
      </c>
      <c r="Q86" s="1">
        <v>497.95</v>
      </c>
      <c r="R86" s="1">
        <v>562.46</v>
      </c>
      <c r="S86" s="1">
        <v>692.18</v>
      </c>
      <c r="T86" s="1">
        <v>676.91</v>
      </c>
      <c r="U86" s="1">
        <v>739.95</v>
      </c>
      <c r="V86" s="1">
        <v>638.91</v>
      </c>
      <c r="W86" s="1">
        <v>154.38999999999999</v>
      </c>
      <c r="X86" s="1">
        <v>31.54</v>
      </c>
      <c r="Y86" s="1">
        <v>37.700000000000003</v>
      </c>
      <c r="Z86" s="1">
        <v>28.61</v>
      </c>
      <c r="AA86" s="1">
        <v>25.7</v>
      </c>
      <c r="AB86" t="s">
        <v>173</v>
      </c>
      <c r="AE86">
        <v>-1.7000000000000001E-2</v>
      </c>
      <c r="AF86">
        <v>4.1959999999999997E-2</v>
      </c>
      <c r="AG86">
        <v>4.5159999999999999E-2</v>
      </c>
      <c r="AH86">
        <v>2.6499999999999999E-2</v>
      </c>
      <c r="AI86">
        <v>3.4000000000000002E-2</v>
      </c>
      <c r="AJ86">
        <v>1.2999999999999999E-2</v>
      </c>
      <c r="AK86">
        <v>-0.02</v>
      </c>
      <c r="AL86">
        <v>-0.02</v>
      </c>
      <c r="AM86">
        <v>-0.02</v>
      </c>
      <c r="AN86">
        <v>-0.02</v>
      </c>
      <c r="AO86">
        <v>-0.02</v>
      </c>
      <c r="AP86">
        <v>-0.02</v>
      </c>
      <c r="AQ86">
        <v>-0.02</v>
      </c>
      <c r="AR86">
        <v>-0.02</v>
      </c>
      <c r="AS86">
        <v>-0.02</v>
      </c>
      <c r="AT86">
        <v>-0.02</v>
      </c>
      <c r="AU86">
        <v>-0.02</v>
      </c>
      <c r="AV86">
        <v>-0.02</v>
      </c>
      <c r="AW86">
        <v>4.5999999999999999E-2</v>
      </c>
      <c r="AX86">
        <v>4.4999999999999998E-2</v>
      </c>
      <c r="AY86">
        <v>2.8000000000000001E-2</v>
      </c>
      <c r="AZ86">
        <v>4.4999999999999998E-2</v>
      </c>
      <c r="BA86">
        <v>4.4999999999999998E-2</v>
      </c>
      <c r="BB86">
        <v>4.4999999999999998E-2</v>
      </c>
      <c r="BC86" t="s">
        <v>64</v>
      </c>
      <c r="BD86">
        <v>-2.7E-2</v>
      </c>
      <c r="BE86">
        <v>-2.5999999999999999E-2</v>
      </c>
      <c r="BF86">
        <v>-2.7E-2</v>
      </c>
      <c r="BG86">
        <v>-2.5999999999999999E-2</v>
      </c>
      <c r="BH86">
        <v>-2.9000000000000001E-2</v>
      </c>
      <c r="BI86">
        <v>-2.7E-2</v>
      </c>
      <c r="BJ86">
        <v>-2.5999999999999999E-2</v>
      </c>
    </row>
    <row r="87" spans="1:63" x14ac:dyDescent="0.25">
      <c r="A87" t="s">
        <v>174</v>
      </c>
      <c r="C87" s="1">
        <v>4724.22</v>
      </c>
      <c r="D87" s="1">
        <v>105.28</v>
      </c>
      <c r="E87" s="1">
        <v>62.27</v>
      </c>
      <c r="F87" s="1">
        <v>8.91</v>
      </c>
      <c r="G87" s="1">
        <v>6.03</v>
      </c>
      <c r="H87" s="1">
        <v>17.23</v>
      </c>
      <c r="I87" s="1">
        <v>18.510000000000002</v>
      </c>
      <c r="J87" s="1">
        <v>16.97</v>
      </c>
      <c r="K87" s="1">
        <v>2.5299999999999998</v>
      </c>
      <c r="L87" s="1">
        <v>188.58</v>
      </c>
      <c r="M87" s="1">
        <v>447.77</v>
      </c>
      <c r="N87" s="1">
        <v>357.78</v>
      </c>
      <c r="O87" s="1">
        <v>461.84</v>
      </c>
      <c r="P87" s="1">
        <v>638.76</v>
      </c>
      <c r="Q87" s="1">
        <v>535.9</v>
      </c>
      <c r="R87" s="1">
        <v>588.29</v>
      </c>
      <c r="S87" s="1">
        <v>465.34</v>
      </c>
      <c r="T87" s="1">
        <v>229.82</v>
      </c>
      <c r="U87" s="1">
        <v>22.66</v>
      </c>
      <c r="V87" s="1">
        <v>0</v>
      </c>
      <c r="W87" s="1">
        <v>12.06</v>
      </c>
      <c r="X87" s="1">
        <v>0</v>
      </c>
      <c r="Y87" s="1">
        <v>56.26</v>
      </c>
      <c r="Z87" s="1">
        <v>309.23</v>
      </c>
      <c r="AA87" s="1">
        <v>172.2</v>
      </c>
      <c r="AB87" t="s">
        <v>174</v>
      </c>
      <c r="AE87">
        <v>-2.3E-2</v>
      </c>
      <c r="AF87">
        <v>3.2000000000000001E-2</v>
      </c>
      <c r="AG87">
        <v>6.5000000000000002E-2</v>
      </c>
      <c r="AH87" t="s">
        <v>64</v>
      </c>
      <c r="AI87">
        <v>0.01</v>
      </c>
      <c r="AJ87">
        <v>-2.5999999999999999E-2</v>
      </c>
      <c r="AK87">
        <v>-2.4E-2</v>
      </c>
      <c r="AL87">
        <v>-2.4E-2</v>
      </c>
      <c r="AM87">
        <v>-2.4E-2</v>
      </c>
      <c r="AN87">
        <v>-2.4E-2</v>
      </c>
      <c r="AO87">
        <v>-2.4E-2</v>
      </c>
      <c r="AP87">
        <v>-2.4E-2</v>
      </c>
      <c r="AQ87">
        <v>-2.4E-2</v>
      </c>
      <c r="AR87">
        <v>-2.4E-2</v>
      </c>
      <c r="AS87">
        <v>-2.4E-2</v>
      </c>
      <c r="AT87">
        <v>-2.4E-2</v>
      </c>
      <c r="AU87">
        <v>-2.4E-2</v>
      </c>
      <c r="AV87">
        <v>-2.4E-2</v>
      </c>
      <c r="AW87">
        <v>0.25691000000000003</v>
      </c>
      <c r="AX87">
        <v>0.29430000000000001</v>
      </c>
      <c r="AY87" t="s">
        <v>64</v>
      </c>
      <c r="AZ87" t="s">
        <v>64</v>
      </c>
      <c r="BA87">
        <v>0.19900000000000001</v>
      </c>
      <c r="BB87">
        <v>0.33200000000000002</v>
      </c>
      <c r="BC87">
        <v>-1.7999999999999999E-2</v>
      </c>
      <c r="BD87">
        <v>-2.4E-2</v>
      </c>
      <c r="BE87">
        <v>-2.3E-2</v>
      </c>
      <c r="BF87">
        <v>-2.3E-2</v>
      </c>
      <c r="BG87">
        <v>-2.3E-2</v>
      </c>
      <c r="BH87">
        <v>-2.3E-2</v>
      </c>
      <c r="BI87">
        <v>-2.4E-2</v>
      </c>
      <c r="BJ87">
        <v>-2.3E-2</v>
      </c>
    </row>
    <row r="88" spans="1:63" x14ac:dyDescent="0.25">
      <c r="A88" t="s">
        <v>175</v>
      </c>
      <c r="C88" s="1">
        <v>4392.4399999999996</v>
      </c>
      <c r="D88" s="1">
        <v>242.09</v>
      </c>
      <c r="E88" s="1">
        <v>283.67</v>
      </c>
      <c r="F88" s="1">
        <v>243.17</v>
      </c>
      <c r="G88" s="1">
        <v>298.57</v>
      </c>
      <c r="H88" s="1">
        <v>299.60000000000002</v>
      </c>
      <c r="I88" s="1">
        <v>354.24</v>
      </c>
      <c r="J88" s="1">
        <v>522.44000000000005</v>
      </c>
      <c r="K88" s="1">
        <v>402.91</v>
      </c>
      <c r="L88" s="1">
        <v>201.18</v>
      </c>
      <c r="M88" s="1">
        <v>81.27</v>
      </c>
      <c r="N88" s="1">
        <v>183.46</v>
      </c>
      <c r="O88" s="1">
        <v>124.08</v>
      </c>
      <c r="P88" s="1">
        <v>125.08</v>
      </c>
      <c r="Q88" s="1">
        <v>93.61</v>
      </c>
      <c r="R88" s="1">
        <v>78.28</v>
      </c>
      <c r="S88" s="1">
        <v>84.69</v>
      </c>
      <c r="T88" s="1">
        <v>89.15</v>
      </c>
      <c r="U88" s="1">
        <v>79.86</v>
      </c>
      <c r="V88" s="1">
        <v>65.75</v>
      </c>
      <c r="W88" s="1">
        <v>38.729999999999997</v>
      </c>
      <c r="X88" s="1">
        <v>62.84</v>
      </c>
      <c r="Y88" s="1">
        <v>99.2</v>
      </c>
      <c r="Z88" s="1">
        <v>122.17</v>
      </c>
      <c r="AA88" s="1">
        <v>216.4</v>
      </c>
      <c r="AB88" t="s">
        <v>175</v>
      </c>
      <c r="AE88">
        <v>-6.9500000000000006E-2</v>
      </c>
      <c r="AF88">
        <v>-3.2000000000000001E-2</v>
      </c>
      <c r="AG88">
        <v>-1.7000000000000001E-2</v>
      </c>
      <c r="AH88">
        <v>-0.11666</v>
      </c>
      <c r="AI88">
        <v>-7.3690000000000005E-2</v>
      </c>
      <c r="AJ88">
        <v>-0.33600999999999998</v>
      </c>
      <c r="AK88" t="s">
        <v>64</v>
      </c>
      <c r="AL88" t="s">
        <v>64</v>
      </c>
      <c r="AM88" t="s">
        <v>64</v>
      </c>
      <c r="AN88" t="s">
        <v>64</v>
      </c>
      <c r="AO88" t="s">
        <v>64</v>
      </c>
      <c r="AP88" t="s">
        <v>64</v>
      </c>
      <c r="AQ88" t="s">
        <v>64</v>
      </c>
      <c r="AR88" t="s">
        <v>64</v>
      </c>
      <c r="AS88" t="s">
        <v>64</v>
      </c>
      <c r="AT88" t="s">
        <v>64</v>
      </c>
      <c r="AU88" t="s">
        <v>64</v>
      </c>
      <c r="AV88" t="s">
        <v>64</v>
      </c>
      <c r="AW88">
        <v>-0.01</v>
      </c>
      <c r="AX88">
        <v>-0.01</v>
      </c>
      <c r="AY88" t="s">
        <v>64</v>
      </c>
      <c r="AZ88">
        <v>-1.0999999999999999E-2</v>
      </c>
      <c r="BA88">
        <v>-0.01</v>
      </c>
      <c r="BB88" t="s">
        <v>64</v>
      </c>
      <c r="BC88" t="s">
        <v>64</v>
      </c>
      <c r="BD88">
        <v>1.4999999999999999E-2</v>
      </c>
      <c r="BE88" t="s">
        <v>64</v>
      </c>
      <c r="BF88" t="s">
        <v>64</v>
      </c>
      <c r="BG88" t="s">
        <v>64</v>
      </c>
      <c r="BH88" t="s">
        <v>64</v>
      </c>
      <c r="BI88">
        <v>1.0999999999999999E-2</v>
      </c>
      <c r="BJ88" t="s">
        <v>64</v>
      </c>
    </row>
    <row r="89" spans="1:63" x14ac:dyDescent="0.25">
      <c r="A89" t="s">
        <v>176</v>
      </c>
      <c r="C89" s="1">
        <v>4333.3999999999996</v>
      </c>
      <c r="D89" s="1">
        <v>81.760000000000005</v>
      </c>
      <c r="E89" s="1">
        <v>104.48</v>
      </c>
      <c r="F89" s="1">
        <v>105.44</v>
      </c>
      <c r="G89" s="1">
        <v>94.21</v>
      </c>
      <c r="H89" s="1">
        <v>83.07</v>
      </c>
      <c r="I89" s="1">
        <v>87.11</v>
      </c>
      <c r="J89" s="1">
        <v>111.54</v>
      </c>
      <c r="K89" s="1">
        <v>170.53</v>
      </c>
      <c r="L89" s="1">
        <v>72.66</v>
      </c>
      <c r="M89" s="1">
        <v>442.92</v>
      </c>
      <c r="N89" s="1">
        <v>522.11</v>
      </c>
      <c r="O89" s="1">
        <v>605.16999999999996</v>
      </c>
      <c r="P89" s="1">
        <v>436.22</v>
      </c>
      <c r="Q89" s="1">
        <v>373.5</v>
      </c>
      <c r="R89" s="1">
        <v>333.4</v>
      </c>
      <c r="S89" s="1">
        <v>270.74</v>
      </c>
      <c r="T89" s="1">
        <v>232.71</v>
      </c>
      <c r="U89" s="1">
        <v>111.55</v>
      </c>
      <c r="V89" s="1">
        <v>22.74</v>
      </c>
      <c r="W89" s="1">
        <v>0</v>
      </c>
      <c r="X89" s="1"/>
      <c r="Y89" s="1"/>
      <c r="Z89" s="1">
        <v>5.36</v>
      </c>
      <c r="AA89" s="1">
        <v>66.180000000000007</v>
      </c>
      <c r="AB89" t="s">
        <v>176</v>
      </c>
      <c r="AE89" t="s">
        <v>64</v>
      </c>
      <c r="AF89">
        <v>-5.577E-2</v>
      </c>
      <c r="AG89">
        <v>-5.8430000000000003E-2</v>
      </c>
      <c r="AH89">
        <v>-0.04</v>
      </c>
      <c r="AI89">
        <v>-4.8230000000000002E-2</v>
      </c>
      <c r="AJ89">
        <v>-2.9000000000000001E-2</v>
      </c>
      <c r="AK89">
        <v>1.0999999999999999E-2</v>
      </c>
      <c r="AL89" t="s">
        <v>64</v>
      </c>
      <c r="AM89" t="s">
        <v>64</v>
      </c>
      <c r="AN89" t="s">
        <v>64</v>
      </c>
      <c r="AO89" t="s">
        <v>64</v>
      </c>
      <c r="AP89" t="s">
        <v>64</v>
      </c>
      <c r="AQ89">
        <v>1.2999999999999999E-2</v>
      </c>
      <c r="AR89" t="s">
        <v>64</v>
      </c>
      <c r="AS89" t="s">
        <v>64</v>
      </c>
      <c r="AT89" t="s">
        <v>64</v>
      </c>
      <c r="AU89" t="s">
        <v>64</v>
      </c>
      <c r="AV89" t="s">
        <v>64</v>
      </c>
      <c r="AW89">
        <v>-5.9249999999999997E-2</v>
      </c>
      <c r="AX89">
        <v>-5.8999999999999997E-2</v>
      </c>
      <c r="AY89">
        <v>-4.9000000000000002E-2</v>
      </c>
      <c r="AZ89">
        <v>-5.8999999999999997E-2</v>
      </c>
      <c r="BA89">
        <v>-5.8999999999999997E-2</v>
      </c>
      <c r="BB89">
        <v>-5.8999999999999997E-2</v>
      </c>
      <c r="BC89">
        <v>-3.7999999999999999E-2</v>
      </c>
      <c r="BD89">
        <v>3.5700000000000003E-2</v>
      </c>
      <c r="BE89">
        <v>4.5240000000000002E-2</v>
      </c>
      <c r="BF89">
        <v>7.6999999999999999E-2</v>
      </c>
      <c r="BG89">
        <v>4.4999999999999998E-2</v>
      </c>
      <c r="BH89">
        <v>6.3E-2</v>
      </c>
      <c r="BI89">
        <v>5.4850000000000003E-2</v>
      </c>
      <c r="BJ89">
        <v>4.8500000000000001E-2</v>
      </c>
    </row>
    <row r="90" spans="1:63" x14ac:dyDescent="0.25">
      <c r="A90" t="s">
        <v>177</v>
      </c>
      <c r="C90" s="1">
        <v>4254.0600000000004</v>
      </c>
      <c r="D90" s="1">
        <v>39.520000000000003</v>
      </c>
      <c r="E90" s="1">
        <v>10.71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0.33</v>
      </c>
      <c r="L90" s="1">
        <v>29.37</v>
      </c>
      <c r="M90" s="1">
        <v>307.44</v>
      </c>
      <c r="N90" s="1">
        <v>451.21</v>
      </c>
      <c r="O90" s="1">
        <v>591.55999999999995</v>
      </c>
      <c r="P90" s="1">
        <v>605.54</v>
      </c>
      <c r="Q90" s="1">
        <v>494.43</v>
      </c>
      <c r="R90" s="1">
        <v>422.65</v>
      </c>
      <c r="S90" s="1">
        <v>405.86</v>
      </c>
      <c r="T90" s="1">
        <v>360.84</v>
      </c>
      <c r="U90" s="1">
        <v>325.89999999999998</v>
      </c>
      <c r="V90" s="1">
        <v>113.65</v>
      </c>
      <c r="W90" s="1">
        <v>8.09</v>
      </c>
      <c r="X90" s="1">
        <v>54.01</v>
      </c>
      <c r="Y90" s="1">
        <v>5.26</v>
      </c>
      <c r="Z90" s="1">
        <v>18.38</v>
      </c>
      <c r="AA90" s="1">
        <v>9.31</v>
      </c>
      <c r="AB90" t="s">
        <v>177</v>
      </c>
      <c r="AE90">
        <v>-0.24657000000000001</v>
      </c>
      <c r="AF90">
        <v>-2.5999999999999999E-2</v>
      </c>
      <c r="AG90">
        <v>-1.0999999999999999E-2</v>
      </c>
      <c r="AH90">
        <v>-0.11282</v>
      </c>
      <c r="AI90">
        <v>-6.8739999999999996E-2</v>
      </c>
      <c r="AJ90">
        <v>-0.01</v>
      </c>
      <c r="AK90">
        <v>3.3000000000000002E-2</v>
      </c>
      <c r="AL90">
        <v>-0.03</v>
      </c>
      <c r="AM90">
        <v>-0.01</v>
      </c>
      <c r="AN90">
        <v>-6.8000000000000005E-2</v>
      </c>
      <c r="AO90">
        <v>-1.6E-2</v>
      </c>
      <c r="AP90">
        <v>-1.6E-2</v>
      </c>
      <c r="AQ90">
        <v>3.6600000000000001E-2</v>
      </c>
      <c r="AR90">
        <v>-0.14399999999999999</v>
      </c>
      <c r="AS90" t="s">
        <v>64</v>
      </c>
      <c r="AT90" t="s">
        <v>64</v>
      </c>
      <c r="AU90" t="s">
        <v>64</v>
      </c>
      <c r="AV90" t="s">
        <v>64</v>
      </c>
      <c r="AW90" t="s">
        <v>64</v>
      </c>
      <c r="AX90" t="s">
        <v>64</v>
      </c>
      <c r="AY90" t="s">
        <v>64</v>
      </c>
      <c r="AZ90" t="s">
        <v>64</v>
      </c>
      <c r="BA90" t="s">
        <v>64</v>
      </c>
      <c r="BB90" t="s">
        <v>64</v>
      </c>
      <c r="BC90" t="s">
        <v>64</v>
      </c>
      <c r="BD90" t="s">
        <v>64</v>
      </c>
      <c r="BE90" t="s">
        <v>64</v>
      </c>
      <c r="BF90">
        <v>0.01</v>
      </c>
      <c r="BG90" t="s">
        <v>64</v>
      </c>
      <c r="BH90">
        <v>1.0999999999999999E-2</v>
      </c>
      <c r="BI90">
        <v>1.4E-2</v>
      </c>
      <c r="BJ90">
        <v>0.01</v>
      </c>
    </row>
    <row r="91" spans="1:63" x14ac:dyDescent="0.25">
      <c r="A91" t="s">
        <v>178</v>
      </c>
      <c r="C91" s="1">
        <v>4162.67</v>
      </c>
      <c r="D91" s="1"/>
      <c r="E91" s="1"/>
      <c r="F91" s="1"/>
      <c r="G91" s="1"/>
      <c r="H91" s="1"/>
      <c r="I91" s="1"/>
      <c r="J91" s="1"/>
      <c r="K91" s="1"/>
      <c r="L91" s="1">
        <v>0.69</v>
      </c>
      <c r="M91" s="1">
        <v>60.43</v>
      </c>
      <c r="N91" s="1">
        <v>113.4</v>
      </c>
      <c r="O91" s="1">
        <v>168.03</v>
      </c>
      <c r="P91" s="1">
        <v>407.59</v>
      </c>
      <c r="Q91" s="1">
        <v>560.35</v>
      </c>
      <c r="R91" s="1">
        <v>844.98</v>
      </c>
      <c r="S91" s="1">
        <v>1077.23</v>
      </c>
      <c r="T91" s="1">
        <v>725.64</v>
      </c>
      <c r="U91" s="1">
        <v>139.68</v>
      </c>
      <c r="V91" s="1">
        <v>64.650000000000006</v>
      </c>
      <c r="W91" s="1">
        <v>0</v>
      </c>
      <c r="X91" s="1"/>
      <c r="Y91" s="1"/>
      <c r="Z91" s="1"/>
      <c r="AA91" s="1"/>
      <c r="AB91" s="4" t="s">
        <v>178</v>
      </c>
      <c r="AE91">
        <v>-1.2E-2</v>
      </c>
      <c r="AF91">
        <v>-0.26480999999999999</v>
      </c>
      <c r="AG91">
        <v>8.6900000000000005E-2</v>
      </c>
      <c r="AH91">
        <v>-7.0999999999999994E-2</v>
      </c>
      <c r="AI91">
        <v>-1.1299999999999999E-2</v>
      </c>
      <c r="AJ91" t="s">
        <v>64</v>
      </c>
      <c r="AK91" t="s">
        <v>64</v>
      </c>
      <c r="AL91" t="s">
        <v>64</v>
      </c>
      <c r="AM91" t="s">
        <v>64</v>
      </c>
      <c r="AN91" t="s">
        <v>64</v>
      </c>
      <c r="AO91" t="s">
        <v>64</v>
      </c>
      <c r="AP91" t="s">
        <v>64</v>
      </c>
      <c r="AQ91" t="s">
        <v>64</v>
      </c>
      <c r="AR91" t="s">
        <v>64</v>
      </c>
      <c r="AS91" t="s">
        <v>64</v>
      </c>
      <c r="AT91" t="s">
        <v>64</v>
      </c>
      <c r="AU91" t="s">
        <v>64</v>
      </c>
      <c r="AV91" t="s">
        <v>64</v>
      </c>
      <c r="AW91">
        <v>4.9700000000000001E-2</v>
      </c>
      <c r="AX91">
        <v>0.05</v>
      </c>
      <c r="AY91" t="s">
        <v>64</v>
      </c>
      <c r="AZ91" t="s">
        <v>64</v>
      </c>
      <c r="BA91" t="s">
        <v>64</v>
      </c>
      <c r="BB91">
        <v>2.1000000000000001E-2</v>
      </c>
      <c r="BC91" t="s">
        <v>64</v>
      </c>
      <c r="BD91" t="s">
        <v>64</v>
      </c>
      <c r="BE91" t="s">
        <v>64</v>
      </c>
      <c r="BF91" t="s">
        <v>64</v>
      </c>
      <c r="BG91" t="s">
        <v>64</v>
      </c>
      <c r="BH91" t="s">
        <v>64</v>
      </c>
      <c r="BI91" t="s">
        <v>64</v>
      </c>
      <c r="BJ91" t="s">
        <v>64</v>
      </c>
      <c r="BK91" t="s">
        <v>179</v>
      </c>
    </row>
    <row r="92" spans="1:63" x14ac:dyDescent="0.25">
      <c r="A92" t="s">
        <v>180</v>
      </c>
      <c r="C92" s="1">
        <v>4113.4799999999996</v>
      </c>
      <c r="D92" s="1">
        <v>241.5</v>
      </c>
      <c r="E92" s="1">
        <v>257.13</v>
      </c>
      <c r="F92" s="1">
        <v>270.14</v>
      </c>
      <c r="G92" s="1">
        <v>288.07</v>
      </c>
      <c r="H92" s="1">
        <v>374.84</v>
      </c>
      <c r="I92" s="1">
        <v>437.67</v>
      </c>
      <c r="J92" s="1">
        <v>509.74</v>
      </c>
      <c r="K92" s="1">
        <v>769.69</v>
      </c>
      <c r="L92" s="1">
        <v>441.61</v>
      </c>
      <c r="M92" s="1">
        <v>12.96</v>
      </c>
      <c r="N92" s="1">
        <v>0</v>
      </c>
      <c r="O92" s="1">
        <v>0</v>
      </c>
      <c r="P92" s="1">
        <v>1.75</v>
      </c>
      <c r="Q92" s="1">
        <v>15.16</v>
      </c>
      <c r="R92" s="1">
        <v>0</v>
      </c>
      <c r="S92" s="1">
        <v>0</v>
      </c>
      <c r="T92" s="1">
        <v>0</v>
      </c>
      <c r="U92" s="1">
        <v>0</v>
      </c>
      <c r="V92" s="1"/>
      <c r="W92" s="1"/>
      <c r="X92" s="1"/>
      <c r="Y92" s="1"/>
      <c r="Z92" s="1">
        <v>195.14</v>
      </c>
      <c r="AA92" s="1">
        <v>298.08</v>
      </c>
      <c r="AB92" t="s">
        <v>180</v>
      </c>
      <c r="AE92">
        <v>1.0999999999999999E-2</v>
      </c>
      <c r="AF92" t="s">
        <v>64</v>
      </c>
      <c r="AG92" t="s">
        <v>64</v>
      </c>
      <c r="AH92" t="s">
        <v>64</v>
      </c>
      <c r="AI92" t="s">
        <v>64</v>
      </c>
      <c r="AJ92" t="s">
        <v>64</v>
      </c>
      <c r="AK92">
        <v>4.8489999999999998E-2</v>
      </c>
      <c r="AL92">
        <v>3.8420000000000003E-2</v>
      </c>
      <c r="AM92">
        <v>3.7999999999999999E-2</v>
      </c>
      <c r="AN92">
        <v>3.5000000000000003E-2</v>
      </c>
      <c r="AO92">
        <v>3.7999999999999999E-2</v>
      </c>
      <c r="AP92">
        <v>3.7999999999999999E-2</v>
      </c>
      <c r="AQ92">
        <v>0.13500000000000001</v>
      </c>
      <c r="AR92">
        <v>3.6600000000000001E-2</v>
      </c>
      <c r="AS92">
        <v>3.9E-2</v>
      </c>
      <c r="AT92">
        <v>3.9E-2</v>
      </c>
      <c r="AU92">
        <v>3.7999999999999999E-2</v>
      </c>
      <c r="AV92">
        <v>3.9899999999999998E-2</v>
      </c>
      <c r="AW92" t="s">
        <v>64</v>
      </c>
      <c r="AX92" t="s">
        <v>64</v>
      </c>
      <c r="AY92" t="s">
        <v>64</v>
      </c>
      <c r="AZ92" t="s">
        <v>64</v>
      </c>
      <c r="BA92" t="s">
        <v>64</v>
      </c>
      <c r="BB92" t="s">
        <v>64</v>
      </c>
      <c r="BC92" t="s">
        <v>64</v>
      </c>
      <c r="BD92" t="s">
        <v>64</v>
      </c>
      <c r="BE92" t="s">
        <v>64</v>
      </c>
      <c r="BF92" t="s">
        <v>64</v>
      </c>
      <c r="BG92" t="s">
        <v>64</v>
      </c>
      <c r="BH92" t="s">
        <v>64</v>
      </c>
      <c r="BI92" t="s">
        <v>64</v>
      </c>
      <c r="BJ92" t="s">
        <v>64</v>
      </c>
    </row>
    <row r="93" spans="1:63" x14ac:dyDescent="0.25">
      <c r="A93" t="s">
        <v>181</v>
      </c>
      <c r="C93" s="1">
        <v>4009.58</v>
      </c>
      <c r="D93" s="1"/>
      <c r="E93" s="1"/>
      <c r="F93" s="1"/>
      <c r="G93" s="1"/>
      <c r="H93" s="1"/>
      <c r="I93" s="1"/>
      <c r="J93" s="1"/>
      <c r="K93" s="1"/>
      <c r="L93" s="1"/>
      <c r="M93" s="1">
        <v>10.31</v>
      </c>
      <c r="N93" s="1">
        <v>81.760000000000005</v>
      </c>
      <c r="O93" s="1">
        <v>186.48</v>
      </c>
      <c r="P93" s="1">
        <v>456.45</v>
      </c>
      <c r="Q93" s="1">
        <v>565.29999999999995</v>
      </c>
      <c r="R93" s="1">
        <v>633.54999999999995</v>
      </c>
      <c r="S93" s="1">
        <v>891.03</v>
      </c>
      <c r="T93" s="1">
        <v>1009.58</v>
      </c>
      <c r="U93" s="1">
        <v>152.34</v>
      </c>
      <c r="V93" s="1">
        <v>22.78</v>
      </c>
      <c r="W93" s="1">
        <v>0</v>
      </c>
      <c r="X93" s="1"/>
      <c r="Y93" s="1"/>
      <c r="Z93" s="1"/>
      <c r="AA93" s="1"/>
      <c r="AB93" t="s">
        <v>181</v>
      </c>
      <c r="AE93">
        <v>-1.7000000000000001E-2</v>
      </c>
      <c r="AF93" t="s">
        <v>64</v>
      </c>
      <c r="AG93" t="s">
        <v>64</v>
      </c>
      <c r="AH93" t="s">
        <v>64</v>
      </c>
      <c r="AI93" t="s">
        <v>64</v>
      </c>
      <c r="AJ93" t="s">
        <v>64</v>
      </c>
      <c r="AK93">
        <v>-2.1000000000000001E-2</v>
      </c>
      <c r="AL93">
        <v>0.02</v>
      </c>
      <c r="AM93">
        <v>-0.02</v>
      </c>
      <c r="AN93">
        <v>-1.9E-2</v>
      </c>
      <c r="AO93">
        <v>-0.02</v>
      </c>
      <c r="AP93">
        <v>-0.02</v>
      </c>
      <c r="AQ93">
        <v>-0.02</v>
      </c>
      <c r="AR93">
        <v>-0.02</v>
      </c>
      <c r="AS93">
        <v>-0.02</v>
      </c>
      <c r="AT93">
        <v>-0.02</v>
      </c>
      <c r="AU93">
        <v>-0.02</v>
      </c>
      <c r="AV93">
        <v>-0.02</v>
      </c>
      <c r="AW93" t="s">
        <v>64</v>
      </c>
      <c r="BC93">
        <v>1.4E-2</v>
      </c>
      <c r="BD93">
        <v>-2.1999999999999999E-2</v>
      </c>
      <c r="BE93">
        <v>5.8000000000000003E-2</v>
      </c>
      <c r="BF93">
        <v>-1.6E-2</v>
      </c>
      <c r="BG93">
        <v>5.8500000000000003E-2</v>
      </c>
      <c r="BH93">
        <v>-2.6599999999999999E-2</v>
      </c>
      <c r="BI93">
        <v>-3.4250000000000003E-2</v>
      </c>
      <c r="BJ93">
        <v>3.1E-2</v>
      </c>
    </row>
    <row r="94" spans="1:63" x14ac:dyDescent="0.25">
      <c r="A94" t="s">
        <v>182</v>
      </c>
      <c r="C94" s="1">
        <v>3663.34</v>
      </c>
      <c r="D94" s="1">
        <v>9.19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13.22</v>
      </c>
      <c r="K94" s="1">
        <v>37.380000000000003</v>
      </c>
      <c r="L94" s="1">
        <v>33.08</v>
      </c>
      <c r="M94" s="1">
        <v>153.66</v>
      </c>
      <c r="N94" s="1">
        <v>33.15</v>
      </c>
      <c r="O94" s="1">
        <v>69.87</v>
      </c>
      <c r="P94" s="1">
        <v>244.35</v>
      </c>
      <c r="Q94" s="1">
        <v>104.34</v>
      </c>
      <c r="R94" s="1">
        <v>65.86</v>
      </c>
      <c r="S94" s="1">
        <v>63</v>
      </c>
      <c r="T94" s="1">
        <v>260.19</v>
      </c>
      <c r="U94" s="1">
        <v>320.87</v>
      </c>
      <c r="V94" s="1">
        <v>485.3</v>
      </c>
      <c r="W94" s="1">
        <v>856.16</v>
      </c>
      <c r="X94" s="1">
        <v>543.41999999999996</v>
      </c>
      <c r="Y94" s="1">
        <v>221.22</v>
      </c>
      <c r="Z94" s="1">
        <v>97.62</v>
      </c>
      <c r="AA94" s="1">
        <v>51.46</v>
      </c>
      <c r="AB94" t="s">
        <v>182</v>
      </c>
      <c r="AE94">
        <v>-5.8200000000000002E-2</v>
      </c>
      <c r="AF94">
        <v>-2.4E-2</v>
      </c>
      <c r="AG94">
        <v>-2.1000000000000001E-2</v>
      </c>
      <c r="AH94">
        <v>-3.9E-2</v>
      </c>
      <c r="AI94">
        <v>-3.2000000000000001E-2</v>
      </c>
      <c r="AJ94">
        <v>-4.2900000000000001E-2</v>
      </c>
      <c r="AK94">
        <v>-6.4000000000000001E-2</v>
      </c>
      <c r="AL94">
        <v>-6.2E-2</v>
      </c>
      <c r="AM94">
        <v>-6.2E-2</v>
      </c>
      <c r="AN94">
        <v>-6.2E-2</v>
      </c>
      <c r="AO94">
        <v>-6.2E-2</v>
      </c>
      <c r="AP94">
        <v>-6.2E-2</v>
      </c>
      <c r="AQ94">
        <v>-6.6000000000000003E-2</v>
      </c>
      <c r="AR94">
        <v>-6.0999999999999999E-2</v>
      </c>
      <c r="AS94">
        <v>-6.0999999999999999E-2</v>
      </c>
      <c r="AT94">
        <v>-6.0999999999999999E-2</v>
      </c>
      <c r="AU94">
        <v>-6.0999999999999999E-2</v>
      </c>
      <c r="AV94">
        <v>-6.0999999999999999E-2</v>
      </c>
      <c r="AW94">
        <v>-1.7999999999999999E-2</v>
      </c>
      <c r="AX94">
        <v>-1.9E-2</v>
      </c>
      <c r="AY94">
        <v>-1.2E-2</v>
      </c>
      <c r="AZ94">
        <v>-2.1999999999999999E-2</v>
      </c>
      <c r="BA94">
        <v>-1.7999999999999999E-2</v>
      </c>
      <c r="BB94">
        <v>-1.7999999999999999E-2</v>
      </c>
      <c r="BC94" t="s">
        <v>64</v>
      </c>
      <c r="BD94">
        <v>-6.6000000000000003E-2</v>
      </c>
      <c r="BE94">
        <v>4.4479999999999999E-2</v>
      </c>
      <c r="BF94">
        <v>0.112</v>
      </c>
      <c r="BG94">
        <v>4.4600000000000001E-2</v>
      </c>
      <c r="BH94" t="s">
        <v>64</v>
      </c>
      <c r="BI94">
        <v>-6.8000000000000005E-2</v>
      </c>
      <c r="BJ94">
        <v>3.9E-2</v>
      </c>
    </row>
    <row r="95" spans="1:63" x14ac:dyDescent="0.25">
      <c r="A95" t="s">
        <v>183</v>
      </c>
      <c r="C95" s="1">
        <v>3353.69</v>
      </c>
      <c r="D95" s="1">
        <v>141.69</v>
      </c>
      <c r="E95" s="1">
        <v>218.3</v>
      </c>
      <c r="F95" s="1">
        <v>159.02000000000001</v>
      </c>
      <c r="G95" s="1">
        <v>281.32</v>
      </c>
      <c r="H95" s="1">
        <v>185.3</v>
      </c>
      <c r="I95" s="1">
        <v>146.41</v>
      </c>
      <c r="J95" s="1">
        <v>0</v>
      </c>
      <c r="K95" s="1">
        <v>0</v>
      </c>
      <c r="L95" s="1">
        <v>11.77</v>
      </c>
      <c r="M95" s="1">
        <v>0.22</v>
      </c>
      <c r="N95" s="1">
        <v>0</v>
      </c>
      <c r="O95" s="1">
        <v>0</v>
      </c>
      <c r="P95" s="1">
        <v>0</v>
      </c>
      <c r="Q95" s="1">
        <v>0</v>
      </c>
      <c r="R95" s="1">
        <v>51.97</v>
      </c>
      <c r="S95" s="1">
        <v>20.5</v>
      </c>
      <c r="T95" s="1">
        <v>59.98</v>
      </c>
      <c r="U95" s="1">
        <v>74.62</v>
      </c>
      <c r="V95" s="1">
        <v>231.85</v>
      </c>
      <c r="W95" s="1">
        <v>227.58</v>
      </c>
      <c r="X95" s="1">
        <v>726.62</v>
      </c>
      <c r="Y95" s="1">
        <v>619.25</v>
      </c>
      <c r="Z95" s="1">
        <v>141.21</v>
      </c>
      <c r="AA95" s="1">
        <v>56.08</v>
      </c>
      <c r="AB95" t="s">
        <v>183</v>
      </c>
      <c r="AE95">
        <v>3.5999999999999997E-2</v>
      </c>
      <c r="AF95">
        <v>5.5980000000000002E-2</v>
      </c>
      <c r="AG95">
        <v>5.2330000000000002E-2</v>
      </c>
      <c r="AH95">
        <v>5.4280000000000002E-2</v>
      </c>
      <c r="AI95">
        <v>5.6300000000000003E-2</v>
      </c>
      <c r="AJ95">
        <v>6.4899999999999999E-2</v>
      </c>
      <c r="AK95">
        <v>3.1E-2</v>
      </c>
      <c r="AL95">
        <v>3.5000000000000003E-2</v>
      </c>
      <c r="AM95">
        <v>3.5000000000000003E-2</v>
      </c>
      <c r="AN95">
        <v>3.7999999999999999E-2</v>
      </c>
      <c r="AO95">
        <v>3.5000000000000003E-2</v>
      </c>
      <c r="AP95">
        <v>3.5000000000000003E-2</v>
      </c>
      <c r="AQ95">
        <v>2.9000000000000001E-2</v>
      </c>
      <c r="AR95">
        <v>3.5999999999999997E-2</v>
      </c>
      <c r="AS95">
        <v>3.4000000000000002E-2</v>
      </c>
      <c r="AT95">
        <v>3.4000000000000002E-2</v>
      </c>
      <c r="AU95">
        <v>3.5000000000000003E-2</v>
      </c>
      <c r="AV95">
        <v>3.4000000000000002E-2</v>
      </c>
      <c r="AW95">
        <v>3.2000000000000001E-2</v>
      </c>
      <c r="AX95">
        <v>3.2000000000000001E-2</v>
      </c>
      <c r="AY95">
        <v>-7.3999999999999996E-2</v>
      </c>
      <c r="AZ95">
        <v>5.2999999999999999E-2</v>
      </c>
      <c r="BA95">
        <v>2.7E-2</v>
      </c>
      <c r="BB95">
        <v>0.02</v>
      </c>
      <c r="BC95">
        <v>-7.0519999999999999E-2</v>
      </c>
      <c r="BD95">
        <v>1.9E-2</v>
      </c>
      <c r="BE95" t="s">
        <v>64</v>
      </c>
      <c r="BF95" t="s">
        <v>64</v>
      </c>
      <c r="BG95" t="s">
        <v>64</v>
      </c>
      <c r="BH95">
        <v>1.0999999999999999E-2</v>
      </c>
      <c r="BI95">
        <v>1.4999999999999999E-2</v>
      </c>
      <c r="BJ95" t="s">
        <v>64</v>
      </c>
    </row>
    <row r="96" spans="1:63" x14ac:dyDescent="0.25">
      <c r="A96" t="s">
        <v>184</v>
      </c>
      <c r="C96" s="1">
        <v>3348.1</v>
      </c>
      <c r="D96" s="1"/>
      <c r="E96" s="1"/>
      <c r="F96" s="1"/>
      <c r="G96" s="1"/>
      <c r="H96" s="1"/>
      <c r="I96" s="1"/>
      <c r="J96" s="1"/>
      <c r="K96" s="1"/>
      <c r="L96" s="1">
        <v>40.39</v>
      </c>
      <c r="M96" s="1">
        <v>182.17</v>
      </c>
      <c r="N96" s="1">
        <v>301.02999999999997</v>
      </c>
      <c r="O96" s="1">
        <v>399.03</v>
      </c>
      <c r="P96" s="1">
        <v>471.22</v>
      </c>
      <c r="Q96" s="1">
        <v>537.57000000000005</v>
      </c>
      <c r="R96" s="1">
        <v>709.8</v>
      </c>
      <c r="S96" s="1">
        <v>430.01</v>
      </c>
      <c r="T96" s="1">
        <v>173.14</v>
      </c>
      <c r="U96" s="1">
        <v>67.27</v>
      </c>
      <c r="V96" s="1">
        <v>36.47</v>
      </c>
      <c r="W96" s="1">
        <v>0</v>
      </c>
      <c r="X96" s="1"/>
      <c r="Y96" s="1"/>
      <c r="Z96" s="1"/>
      <c r="AA96" s="1"/>
      <c r="AB96" t="s">
        <v>184</v>
      </c>
      <c r="AE96">
        <v>-4.4999999999999998E-2</v>
      </c>
      <c r="AF96">
        <v>-6.3549999999999995E-2</v>
      </c>
      <c r="AG96">
        <v>-6.2129999999999998E-2</v>
      </c>
      <c r="AH96">
        <v>-5.7660000000000003E-2</v>
      </c>
      <c r="AI96">
        <v>-6.1400000000000003E-2</v>
      </c>
      <c r="AJ96">
        <v>-7.5459999999999999E-2</v>
      </c>
      <c r="AK96">
        <v>-3.5000000000000003E-2</v>
      </c>
      <c r="AL96">
        <v>-3.7999999999999999E-2</v>
      </c>
      <c r="AM96">
        <v>-3.6999999999999998E-2</v>
      </c>
      <c r="AN96">
        <v>-3.9E-2</v>
      </c>
      <c r="AO96">
        <v>-3.6999999999999998E-2</v>
      </c>
      <c r="AP96">
        <v>-3.6999999999999998E-2</v>
      </c>
      <c r="AQ96">
        <v>-3.3000000000000002E-2</v>
      </c>
      <c r="AR96">
        <v>-3.9E-2</v>
      </c>
      <c r="AS96">
        <v>-3.6999999999999998E-2</v>
      </c>
      <c r="AT96">
        <v>-3.6999999999999998E-2</v>
      </c>
      <c r="AU96">
        <v>-3.6999999999999998E-2</v>
      </c>
      <c r="AV96">
        <v>-3.6999999999999998E-2</v>
      </c>
      <c r="AW96">
        <v>-5.4199999999999998E-2</v>
      </c>
      <c r="AX96">
        <v>-5.2999999999999999E-2</v>
      </c>
      <c r="AY96" t="s">
        <v>64</v>
      </c>
      <c r="AZ96">
        <v>-6.8000000000000005E-2</v>
      </c>
      <c r="BA96">
        <v>-5.3999999999999999E-2</v>
      </c>
      <c r="BB96">
        <v>-4.7E-2</v>
      </c>
      <c r="BC96">
        <v>6.5939999999999999E-2</v>
      </c>
      <c r="BD96">
        <v>-1.9E-2</v>
      </c>
      <c r="BE96">
        <v>6.361E-2</v>
      </c>
      <c r="BF96">
        <v>3.3000000000000002E-2</v>
      </c>
      <c r="BG96">
        <v>6.3E-2</v>
      </c>
      <c r="BH96" t="s">
        <v>64</v>
      </c>
      <c r="BI96" t="s">
        <v>64</v>
      </c>
      <c r="BJ96">
        <v>5.7000000000000002E-2</v>
      </c>
    </row>
    <row r="97" spans="1:63" x14ac:dyDescent="0.25">
      <c r="A97" t="s">
        <v>185</v>
      </c>
      <c r="C97" s="1">
        <v>3322.27</v>
      </c>
      <c r="D97" s="1">
        <v>0</v>
      </c>
      <c r="E97" s="1"/>
      <c r="F97" s="1"/>
      <c r="G97" s="1"/>
      <c r="H97" s="1"/>
      <c r="I97" s="1"/>
      <c r="J97" s="1"/>
      <c r="K97" s="1"/>
      <c r="L97" s="1"/>
      <c r="M97" s="1">
        <v>13.43</v>
      </c>
      <c r="N97" s="1">
        <v>0</v>
      </c>
      <c r="O97" s="1">
        <v>0</v>
      </c>
      <c r="P97" s="1">
        <v>0</v>
      </c>
      <c r="Q97" s="1">
        <v>0</v>
      </c>
      <c r="R97" s="1">
        <v>307.36</v>
      </c>
      <c r="S97" s="1">
        <v>785.01</v>
      </c>
      <c r="T97" s="1">
        <v>824.12</v>
      </c>
      <c r="U97" s="1">
        <v>292.82</v>
      </c>
      <c r="V97" s="1">
        <v>426.13</v>
      </c>
      <c r="W97" s="1">
        <v>274.18</v>
      </c>
      <c r="X97" s="1">
        <v>194.6</v>
      </c>
      <c r="Y97" s="1">
        <v>191.85</v>
      </c>
      <c r="Z97" s="1">
        <v>12.77</v>
      </c>
      <c r="AA97" s="1">
        <v>0</v>
      </c>
      <c r="AB97" s="4" t="s">
        <v>185</v>
      </c>
      <c r="AE97">
        <v>0.29899999999999999</v>
      </c>
      <c r="AF97">
        <v>1.0999999999999999E-2</v>
      </c>
      <c r="AG97" t="s">
        <v>64</v>
      </c>
      <c r="AH97">
        <v>3.5000000000000003E-2</v>
      </c>
      <c r="AI97">
        <v>2.3E-2</v>
      </c>
      <c r="AJ97">
        <v>1.2999999999999999E-2</v>
      </c>
      <c r="AK97">
        <v>-2.5000000000000001E-2</v>
      </c>
      <c r="AL97">
        <v>-3.2000000000000001E-2</v>
      </c>
      <c r="AM97">
        <v>-3.1E-2</v>
      </c>
      <c r="AN97">
        <v>-3.6999999999999998E-2</v>
      </c>
      <c r="AO97">
        <v>-3.2000000000000001E-2</v>
      </c>
      <c r="AP97">
        <v>-3.2000000000000001E-2</v>
      </c>
      <c r="AQ97">
        <v>-1.7000000000000001E-2</v>
      </c>
      <c r="AR97">
        <v>-3.7999999999999999E-2</v>
      </c>
      <c r="AS97">
        <v>-2.9000000000000001E-2</v>
      </c>
      <c r="AT97">
        <v>-0.03</v>
      </c>
      <c r="AU97">
        <v>-3.1E-2</v>
      </c>
      <c r="AV97">
        <v>-0.03</v>
      </c>
      <c r="AW97" t="s">
        <v>64</v>
      </c>
      <c r="AX97" t="s">
        <v>64</v>
      </c>
      <c r="AY97" t="s">
        <v>64</v>
      </c>
      <c r="AZ97" t="s">
        <v>64</v>
      </c>
      <c r="BA97" t="s">
        <v>64</v>
      </c>
      <c r="BB97" t="s">
        <v>64</v>
      </c>
      <c r="BC97" t="s">
        <v>64</v>
      </c>
      <c r="BD97" t="s">
        <v>64</v>
      </c>
      <c r="BE97" t="s">
        <v>64</v>
      </c>
      <c r="BF97" t="s">
        <v>64</v>
      </c>
      <c r="BG97" t="s">
        <v>64</v>
      </c>
      <c r="BH97" t="s">
        <v>64</v>
      </c>
      <c r="BI97" t="s">
        <v>64</v>
      </c>
      <c r="BJ97" t="s">
        <v>64</v>
      </c>
      <c r="BK97" t="s">
        <v>186</v>
      </c>
    </row>
    <row r="98" spans="1:63" x14ac:dyDescent="0.25">
      <c r="A98" t="s">
        <v>187</v>
      </c>
      <c r="C98" s="1">
        <v>3314.01</v>
      </c>
      <c r="D98" s="1"/>
      <c r="E98" s="1"/>
      <c r="F98" s="1"/>
      <c r="G98" s="1"/>
      <c r="H98" s="1"/>
      <c r="I98" s="1"/>
      <c r="J98" s="1"/>
      <c r="K98" s="1"/>
      <c r="L98" s="1">
        <v>21.31</v>
      </c>
      <c r="M98" s="1">
        <v>155.72999999999999</v>
      </c>
      <c r="N98" s="1">
        <v>151.29</v>
      </c>
      <c r="O98" s="1">
        <v>203.43</v>
      </c>
      <c r="P98" s="1">
        <v>306.8</v>
      </c>
      <c r="Q98" s="1">
        <v>392.95</v>
      </c>
      <c r="R98" s="1">
        <v>485.67</v>
      </c>
      <c r="S98" s="1">
        <v>629.69000000000005</v>
      </c>
      <c r="T98" s="1">
        <v>502.3</v>
      </c>
      <c r="U98" s="1">
        <v>368.19</v>
      </c>
      <c r="V98" s="1">
        <v>96.65</v>
      </c>
      <c r="W98" s="1">
        <v>0</v>
      </c>
      <c r="X98" s="1"/>
      <c r="Y98" s="1"/>
      <c r="Z98" s="1"/>
      <c r="AA98" s="1"/>
      <c r="AB98" t="s">
        <v>187</v>
      </c>
      <c r="AE98">
        <v>-6.3479999999999995E-2</v>
      </c>
      <c r="AF98">
        <v>0.14058999999999999</v>
      </c>
      <c r="AG98">
        <v>0.15042</v>
      </c>
      <c r="AH98">
        <v>8.7999999999999995E-2</v>
      </c>
      <c r="AI98">
        <v>0.11441999999999999</v>
      </c>
      <c r="AJ98">
        <v>3.7999999999999999E-2</v>
      </c>
      <c r="AK98">
        <v>-7.5179999999999997E-2</v>
      </c>
      <c r="AL98">
        <v>-7.016E-2</v>
      </c>
      <c r="AM98">
        <v>-7.0000000000000007E-2</v>
      </c>
      <c r="AN98">
        <v>-7.0000000000000007E-2</v>
      </c>
      <c r="AO98">
        <v>-7.0000000000000007E-2</v>
      </c>
      <c r="AP98">
        <v>-7.0000000000000007E-2</v>
      </c>
      <c r="AQ98">
        <v>-7.8E-2</v>
      </c>
      <c r="AR98">
        <v>-7.0000000000000007E-2</v>
      </c>
      <c r="AS98">
        <v>-7.0000000000000007E-2</v>
      </c>
      <c r="AT98">
        <v>-7.0000000000000007E-2</v>
      </c>
      <c r="AU98">
        <v>-7.0000000000000007E-2</v>
      </c>
      <c r="AV98">
        <v>-7.0000000000000007E-2</v>
      </c>
      <c r="AW98">
        <v>0.14762</v>
      </c>
      <c r="AX98">
        <v>0.14699999999999999</v>
      </c>
      <c r="AY98">
        <v>0.1</v>
      </c>
      <c r="AZ98">
        <v>0.15379999999999999</v>
      </c>
      <c r="BA98">
        <v>0.151</v>
      </c>
      <c r="BB98">
        <v>0.14199999999999999</v>
      </c>
      <c r="BC98">
        <v>3.4000000000000002E-2</v>
      </c>
      <c r="BD98">
        <v>-9.6259999999999998E-2</v>
      </c>
      <c r="BE98">
        <v>-9.5039999999999999E-2</v>
      </c>
      <c r="BF98">
        <v>-0.1</v>
      </c>
      <c r="BG98">
        <v>-9.5000000000000001E-2</v>
      </c>
      <c r="BH98">
        <v>-0.1</v>
      </c>
      <c r="BI98">
        <v>-9.9000000000000005E-2</v>
      </c>
      <c r="BJ98">
        <v>-9.6000000000000002E-2</v>
      </c>
    </row>
    <row r="99" spans="1:63" x14ac:dyDescent="0.25">
      <c r="A99" t="s">
        <v>188</v>
      </c>
      <c r="C99" s="1">
        <v>3299.99</v>
      </c>
      <c r="D99" s="1">
        <v>0</v>
      </c>
      <c r="E99" s="1">
        <v>0</v>
      </c>
      <c r="F99" s="1">
        <v>0</v>
      </c>
      <c r="G99" s="1">
        <v>41.98</v>
      </c>
      <c r="H99" s="1">
        <v>4.6100000000000003</v>
      </c>
      <c r="I99" s="1">
        <v>96.84</v>
      </c>
      <c r="J99" s="1">
        <v>153.55000000000001</v>
      </c>
      <c r="K99" s="1">
        <v>63.81</v>
      </c>
      <c r="L99" s="1">
        <v>21.04</v>
      </c>
      <c r="M99" s="1">
        <v>7.66</v>
      </c>
      <c r="N99" s="1">
        <v>2.94</v>
      </c>
      <c r="O99" s="1">
        <v>0</v>
      </c>
      <c r="P99" s="1">
        <v>0.91</v>
      </c>
      <c r="Q99" s="1">
        <v>0</v>
      </c>
      <c r="R99" s="1">
        <v>0</v>
      </c>
      <c r="S99" s="1">
        <v>0.41</v>
      </c>
      <c r="T99" s="1">
        <v>8.7799999999999994</v>
      </c>
      <c r="U99" s="1">
        <v>24.91</v>
      </c>
      <c r="V99" s="1">
        <v>98.97</v>
      </c>
      <c r="W99" s="1">
        <v>493.6</v>
      </c>
      <c r="X99" s="1">
        <v>694.58</v>
      </c>
      <c r="Y99" s="1">
        <v>1115.83</v>
      </c>
      <c r="Z99" s="1">
        <v>347.8</v>
      </c>
      <c r="AA99" s="1">
        <v>121.77</v>
      </c>
      <c r="AB99" s="4" t="s">
        <v>188</v>
      </c>
      <c r="AE99">
        <v>1.2E-2</v>
      </c>
      <c r="AF99">
        <v>-0.73199999999999998</v>
      </c>
      <c r="AG99">
        <v>-9.0130000000000002E-2</v>
      </c>
      <c r="AH99">
        <v>7.22E-2</v>
      </c>
      <c r="AI99" t="s">
        <v>64</v>
      </c>
      <c r="AJ99" t="s">
        <v>64</v>
      </c>
      <c r="AK99" t="s">
        <v>64</v>
      </c>
      <c r="AL99" t="s">
        <v>64</v>
      </c>
      <c r="AM99" t="s">
        <v>64</v>
      </c>
      <c r="AN99" t="s">
        <v>64</v>
      </c>
      <c r="AO99" t="s">
        <v>64</v>
      </c>
      <c r="AP99" t="s">
        <v>64</v>
      </c>
      <c r="AQ99" t="s">
        <v>64</v>
      </c>
      <c r="AR99" t="s">
        <v>64</v>
      </c>
      <c r="AS99" t="s">
        <v>64</v>
      </c>
      <c r="AT99" t="s">
        <v>64</v>
      </c>
      <c r="AU99" t="s">
        <v>64</v>
      </c>
      <c r="AV99" t="s">
        <v>64</v>
      </c>
      <c r="AW99">
        <v>-5.1400000000000001E-2</v>
      </c>
      <c r="AX99">
        <v>-5.0999999999999997E-2</v>
      </c>
      <c r="AY99" t="s">
        <v>64</v>
      </c>
      <c r="AZ99" t="s">
        <v>64</v>
      </c>
      <c r="BA99" t="s">
        <v>64</v>
      </c>
      <c r="BB99">
        <v>-2.3E-2</v>
      </c>
      <c r="BC99" t="s">
        <v>64</v>
      </c>
      <c r="BD99" t="s">
        <v>64</v>
      </c>
      <c r="BE99" t="s">
        <v>64</v>
      </c>
      <c r="BF99" t="s">
        <v>64</v>
      </c>
      <c r="BG99" t="s">
        <v>64</v>
      </c>
      <c r="BH99" t="s">
        <v>64</v>
      </c>
      <c r="BI99" t="s">
        <v>64</v>
      </c>
      <c r="BJ99" t="s">
        <v>64</v>
      </c>
      <c r="BK99" t="s">
        <v>189</v>
      </c>
    </row>
    <row r="100" spans="1:63" x14ac:dyDescent="0.25">
      <c r="A100" t="s">
        <v>190</v>
      </c>
      <c r="C100" s="1">
        <v>3280.03</v>
      </c>
      <c r="D100" s="1"/>
      <c r="E100" s="1"/>
      <c r="F100" s="1"/>
      <c r="G100" s="1"/>
      <c r="H100" s="1"/>
      <c r="I100" s="1"/>
      <c r="J100" s="1"/>
      <c r="K100" s="1"/>
      <c r="L100" s="1">
        <v>16.100000000000001</v>
      </c>
      <c r="M100" s="1">
        <v>55.67</v>
      </c>
      <c r="N100" s="1">
        <v>44.05</v>
      </c>
      <c r="O100" s="1">
        <v>51.89</v>
      </c>
      <c r="P100" s="1">
        <v>75.010000000000005</v>
      </c>
      <c r="Q100" s="1">
        <v>152.11000000000001</v>
      </c>
      <c r="R100" s="1">
        <v>145.22999999999999</v>
      </c>
      <c r="S100" s="1">
        <v>232.22</v>
      </c>
      <c r="T100" s="1">
        <v>385.95</v>
      </c>
      <c r="U100" s="1">
        <v>891.77</v>
      </c>
      <c r="V100" s="1">
        <v>1018.7</v>
      </c>
      <c r="W100" s="1">
        <v>211.33</v>
      </c>
      <c r="X100" s="1">
        <v>0</v>
      </c>
      <c r="Y100" s="1">
        <v>0</v>
      </c>
      <c r="Z100" s="1"/>
      <c r="AA100" s="1"/>
      <c r="AB100" t="s">
        <v>190</v>
      </c>
      <c r="AE100">
        <v>-2.5000000000000001E-2</v>
      </c>
      <c r="AF100">
        <v>-8.0930000000000002E-2</v>
      </c>
      <c r="AG100">
        <v>-1.7000000000000001E-2</v>
      </c>
      <c r="AH100">
        <v>-0.20463999999999999</v>
      </c>
      <c r="AI100">
        <v>-8.9349999999999999E-2</v>
      </c>
      <c r="AJ100" t="s">
        <v>64</v>
      </c>
      <c r="AK100" t="s">
        <v>64</v>
      </c>
      <c r="AL100" t="s">
        <v>64</v>
      </c>
      <c r="AM100" t="s">
        <v>64</v>
      </c>
      <c r="AN100" t="s">
        <v>64</v>
      </c>
      <c r="AO100" t="s">
        <v>64</v>
      </c>
      <c r="AP100" t="s">
        <v>64</v>
      </c>
      <c r="AQ100" t="s">
        <v>64</v>
      </c>
      <c r="AR100" t="s">
        <v>64</v>
      </c>
      <c r="AS100" t="s">
        <v>64</v>
      </c>
      <c r="AT100" t="s">
        <v>64</v>
      </c>
      <c r="AU100" t="s">
        <v>64</v>
      </c>
      <c r="AV100" t="s">
        <v>64</v>
      </c>
      <c r="AW100" t="s">
        <v>64</v>
      </c>
      <c r="AX100" t="s">
        <v>64</v>
      </c>
      <c r="AY100" t="s">
        <v>64</v>
      </c>
      <c r="AZ100">
        <v>1.7999999999999999E-2</v>
      </c>
      <c r="BA100" t="s">
        <v>64</v>
      </c>
      <c r="BB100" t="s">
        <v>64</v>
      </c>
      <c r="BC100" t="s">
        <v>64</v>
      </c>
      <c r="BD100" t="s">
        <v>64</v>
      </c>
      <c r="BE100" t="s">
        <v>64</v>
      </c>
      <c r="BF100" t="s">
        <v>64</v>
      </c>
      <c r="BG100" t="s">
        <v>64</v>
      </c>
      <c r="BH100" t="s">
        <v>64</v>
      </c>
      <c r="BI100" t="s">
        <v>64</v>
      </c>
      <c r="BJ100" t="s">
        <v>64</v>
      </c>
    </row>
    <row r="101" spans="1:63" x14ac:dyDescent="0.25">
      <c r="A101" t="s">
        <v>191</v>
      </c>
      <c r="C101" s="1">
        <v>3048</v>
      </c>
      <c r="D101" s="1">
        <v>0</v>
      </c>
      <c r="E101" s="1">
        <v>0</v>
      </c>
      <c r="F101" s="1"/>
      <c r="G101" s="1"/>
      <c r="H101" s="1"/>
      <c r="I101" s="1"/>
      <c r="J101" s="1">
        <v>1.19</v>
      </c>
      <c r="K101" s="1">
        <v>8.83</v>
      </c>
      <c r="L101" s="1">
        <v>16.260000000000002</v>
      </c>
      <c r="M101" s="1">
        <v>1.0900000000000001</v>
      </c>
      <c r="N101" s="1">
        <v>68.25</v>
      </c>
      <c r="O101" s="1">
        <v>124.99</v>
      </c>
      <c r="P101" s="1">
        <v>352.25</v>
      </c>
      <c r="Q101" s="1">
        <v>704.69</v>
      </c>
      <c r="R101" s="1">
        <v>746.6</v>
      </c>
      <c r="S101" s="1">
        <v>507.76</v>
      </c>
      <c r="T101" s="1">
        <v>305.31</v>
      </c>
      <c r="U101" s="1">
        <v>103.01</v>
      </c>
      <c r="V101" s="1">
        <v>18.03</v>
      </c>
      <c r="W101" s="1">
        <v>83.47</v>
      </c>
      <c r="X101" s="1">
        <v>2.35</v>
      </c>
      <c r="Y101" s="1">
        <v>0</v>
      </c>
      <c r="Z101" s="1">
        <v>0</v>
      </c>
      <c r="AA101" s="1">
        <v>3.92</v>
      </c>
      <c r="AB101" t="s">
        <v>191</v>
      </c>
      <c r="AE101" t="s">
        <v>64</v>
      </c>
      <c r="AF101" t="s">
        <v>64</v>
      </c>
      <c r="AG101" t="s">
        <v>64</v>
      </c>
      <c r="AH101" t="s">
        <v>64</v>
      </c>
      <c r="AI101" t="s">
        <v>64</v>
      </c>
      <c r="AJ101" t="s">
        <v>64</v>
      </c>
      <c r="AK101" t="s">
        <v>64</v>
      </c>
      <c r="AL101" t="s">
        <v>64</v>
      </c>
      <c r="AM101" t="s">
        <v>64</v>
      </c>
      <c r="AN101" t="s">
        <v>64</v>
      </c>
      <c r="AO101" t="s">
        <v>64</v>
      </c>
      <c r="AP101" t="s">
        <v>64</v>
      </c>
      <c r="AQ101" t="s">
        <v>64</v>
      </c>
      <c r="AR101" t="s">
        <v>64</v>
      </c>
      <c r="AS101" t="s">
        <v>64</v>
      </c>
      <c r="AT101" t="s">
        <v>64</v>
      </c>
      <c r="AU101" t="s">
        <v>64</v>
      </c>
      <c r="AV101" t="s">
        <v>64</v>
      </c>
      <c r="AW101" t="s">
        <v>64</v>
      </c>
      <c r="AX101" t="s">
        <v>64</v>
      </c>
      <c r="AY101" t="s">
        <v>64</v>
      </c>
      <c r="AZ101" t="s">
        <v>64</v>
      </c>
      <c r="BA101" t="s">
        <v>64</v>
      </c>
      <c r="BB101" t="s">
        <v>64</v>
      </c>
      <c r="BC101" t="s">
        <v>64</v>
      </c>
      <c r="BD101" t="s">
        <v>64</v>
      </c>
      <c r="BE101">
        <v>-0.14082</v>
      </c>
      <c r="BF101">
        <v>-0.11</v>
      </c>
      <c r="BG101">
        <v>-0.14000000000000001</v>
      </c>
      <c r="BH101" t="s">
        <v>64</v>
      </c>
      <c r="BI101" t="s">
        <v>64</v>
      </c>
      <c r="BJ101">
        <v>-0.14000000000000001</v>
      </c>
    </row>
    <row r="102" spans="1:63" x14ac:dyDescent="0.25">
      <c r="A102" t="s">
        <v>192</v>
      </c>
      <c r="C102" s="1">
        <v>2556.79</v>
      </c>
      <c r="D102" s="1">
        <v>54.97</v>
      </c>
      <c r="E102" s="1">
        <v>70.37</v>
      </c>
      <c r="F102" s="1">
        <v>148.24</v>
      </c>
      <c r="G102" s="1">
        <v>202.59</v>
      </c>
      <c r="H102" s="1">
        <v>144.71</v>
      </c>
      <c r="I102" s="1">
        <v>103.22</v>
      </c>
      <c r="J102" s="1">
        <v>72.3</v>
      </c>
      <c r="K102" s="1">
        <v>74.12</v>
      </c>
      <c r="L102" s="1">
        <v>19.059999999999999</v>
      </c>
      <c r="M102" s="1">
        <v>53.81</v>
      </c>
      <c r="N102" s="1">
        <v>159.03</v>
      </c>
      <c r="O102" s="1">
        <v>269.89999999999998</v>
      </c>
      <c r="P102" s="1">
        <v>298.16000000000003</v>
      </c>
      <c r="Q102" s="1">
        <v>323.51</v>
      </c>
      <c r="R102" s="1">
        <v>139.38</v>
      </c>
      <c r="S102" s="1">
        <v>121.02</v>
      </c>
      <c r="T102" s="1">
        <v>70.08</v>
      </c>
      <c r="U102" s="1">
        <v>5.23</v>
      </c>
      <c r="V102" s="1">
        <v>0</v>
      </c>
      <c r="W102" s="1">
        <v>8.51</v>
      </c>
      <c r="X102" s="1">
        <v>49.24</v>
      </c>
      <c r="Y102" s="1">
        <v>1.52</v>
      </c>
      <c r="Z102" s="1">
        <v>64.989999999999995</v>
      </c>
      <c r="AA102" s="1">
        <v>102.83</v>
      </c>
      <c r="AB102" t="s">
        <v>192</v>
      </c>
      <c r="AE102">
        <v>-0.11</v>
      </c>
      <c r="AF102">
        <v>5.1999999999999998E-2</v>
      </c>
      <c r="AG102">
        <v>6.9000000000000006E-2</v>
      </c>
      <c r="AH102">
        <v>-0.02</v>
      </c>
      <c r="AI102">
        <v>1.4999999999999999E-2</v>
      </c>
      <c r="AJ102">
        <v>-1.2E-2</v>
      </c>
      <c r="AK102">
        <v>-1.0999999999999999E-2</v>
      </c>
      <c r="AL102">
        <v>-0.129</v>
      </c>
      <c r="AM102">
        <v>-0.128</v>
      </c>
      <c r="AN102">
        <v>-0.13</v>
      </c>
      <c r="AO102">
        <v>-0.12</v>
      </c>
      <c r="AP102">
        <v>-0.12</v>
      </c>
      <c r="AQ102">
        <v>-0.12</v>
      </c>
      <c r="AR102">
        <v>-0.12</v>
      </c>
      <c r="AS102">
        <v>-0.12</v>
      </c>
      <c r="AT102">
        <v>-0.12</v>
      </c>
      <c r="AU102">
        <v>-0.12</v>
      </c>
      <c r="AV102">
        <v>-0.12</v>
      </c>
      <c r="AW102">
        <v>7.2999999999999995E-2</v>
      </c>
      <c r="AX102">
        <v>7.1999999999999995E-2</v>
      </c>
      <c r="AY102">
        <v>5.3999999999999999E-2</v>
      </c>
      <c r="AZ102">
        <v>7.5999999999999998E-2</v>
      </c>
      <c r="BA102">
        <v>7.2999999999999995E-2</v>
      </c>
      <c r="BB102">
        <v>7.1599999999999997E-2</v>
      </c>
      <c r="BC102">
        <v>3.5000000000000003E-2</v>
      </c>
      <c r="BD102">
        <v>-5.8000000000000003E-2</v>
      </c>
      <c r="BE102">
        <v>-1.2999999999999999E-2</v>
      </c>
      <c r="BF102">
        <v>-2.3E-2</v>
      </c>
      <c r="BG102">
        <v>-1.2999999999999999E-2</v>
      </c>
      <c r="BH102">
        <v>-3.4000000000000002E-2</v>
      </c>
      <c r="BI102">
        <v>-4.8000000000000001E-2</v>
      </c>
      <c r="BJ102">
        <v>-1.3299999999999999E-2</v>
      </c>
    </row>
    <row r="103" spans="1:63" x14ac:dyDescent="0.25">
      <c r="A103" t="s">
        <v>193</v>
      </c>
      <c r="C103" s="1">
        <v>1988.62</v>
      </c>
      <c r="D103" s="1"/>
      <c r="E103" s="1">
        <v>25.41</v>
      </c>
      <c r="F103" s="1">
        <v>50.29</v>
      </c>
      <c r="G103" s="1">
        <v>9.7200000000000006</v>
      </c>
      <c r="H103" s="1">
        <v>0</v>
      </c>
      <c r="I103" s="1">
        <v>0</v>
      </c>
      <c r="J103" s="1">
        <v>0</v>
      </c>
      <c r="K103" s="1"/>
      <c r="L103" s="1"/>
      <c r="M103" s="1">
        <v>9.59</v>
      </c>
      <c r="N103" s="1">
        <v>85.33</v>
      </c>
      <c r="O103" s="1">
        <v>87.13</v>
      </c>
      <c r="P103" s="1">
        <v>75.680000000000007</v>
      </c>
      <c r="Q103" s="1">
        <v>38.869999999999997</v>
      </c>
      <c r="R103" s="1">
        <v>221.43</v>
      </c>
      <c r="S103" s="1">
        <v>330.72</v>
      </c>
      <c r="T103" s="1">
        <v>461.1</v>
      </c>
      <c r="U103" s="1">
        <v>492.63</v>
      </c>
      <c r="V103" s="1">
        <v>100.72</v>
      </c>
      <c r="W103" s="1">
        <v>0</v>
      </c>
      <c r="X103" s="1">
        <v>0</v>
      </c>
      <c r="Y103" s="1"/>
      <c r="Z103" s="1"/>
      <c r="AA103" s="1"/>
      <c r="AB103" t="s">
        <v>193</v>
      </c>
      <c r="AE103">
        <v>-4.1939999999999998E-2</v>
      </c>
      <c r="AF103">
        <v>0.10133</v>
      </c>
      <c r="AG103">
        <v>4.0939999999999997E-2</v>
      </c>
      <c r="AH103">
        <v>-0.32295000000000001</v>
      </c>
      <c r="AI103" t="s">
        <v>64</v>
      </c>
      <c r="AJ103" t="s">
        <v>64</v>
      </c>
      <c r="AK103">
        <v>-1.2E-2</v>
      </c>
      <c r="AL103">
        <v>-1.4E-2</v>
      </c>
      <c r="AM103">
        <v>-1.4E-2</v>
      </c>
      <c r="AN103">
        <v>-1.4E-2</v>
      </c>
      <c r="AO103">
        <v>-1.4E-2</v>
      </c>
      <c r="AP103">
        <v>-1.4E-2</v>
      </c>
      <c r="AQ103">
        <v>-1.4E-2</v>
      </c>
      <c r="AR103">
        <v>-1.4E-2</v>
      </c>
      <c r="AS103">
        <v>-1.4E-2</v>
      </c>
      <c r="AT103">
        <v>-1.4E-2</v>
      </c>
      <c r="AU103">
        <v>-1.4E-2</v>
      </c>
      <c r="AV103">
        <v>-1.4E-2</v>
      </c>
      <c r="AW103">
        <v>1.7000000000000001E-2</v>
      </c>
      <c r="AX103">
        <v>1.7000000000000001E-2</v>
      </c>
      <c r="AY103" t="s">
        <v>64</v>
      </c>
      <c r="AZ103" t="s">
        <v>64</v>
      </c>
      <c r="BA103" t="s">
        <v>64</v>
      </c>
      <c r="BB103">
        <v>1.2999999999999999E-2</v>
      </c>
      <c r="BC103" t="s">
        <v>64</v>
      </c>
      <c r="BD103" t="s">
        <v>64</v>
      </c>
      <c r="BE103" t="s">
        <v>64</v>
      </c>
      <c r="BF103" t="s">
        <v>64</v>
      </c>
      <c r="BG103" t="s">
        <v>64</v>
      </c>
      <c r="BH103" t="s">
        <v>64</v>
      </c>
      <c r="BI103" t="s">
        <v>64</v>
      </c>
      <c r="BJ103" t="s">
        <v>64</v>
      </c>
    </row>
    <row r="104" spans="1:63" x14ac:dyDescent="0.25"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63" x14ac:dyDescent="0.25">
      <c r="A105" t="s">
        <v>194</v>
      </c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63" x14ac:dyDescent="0.25">
      <c r="A106" s="5" t="s">
        <v>195</v>
      </c>
      <c r="B106" s="5"/>
      <c r="C106" s="6">
        <v>7518.99</v>
      </c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>
        <v>123.05</v>
      </c>
      <c r="R106" s="6">
        <v>377.54</v>
      </c>
      <c r="S106" s="6">
        <v>356.66</v>
      </c>
      <c r="T106" s="6">
        <v>953.54</v>
      </c>
      <c r="U106" s="6">
        <v>3066.37</v>
      </c>
      <c r="V106" s="6">
        <v>2619.56</v>
      </c>
      <c r="W106" s="6">
        <v>22.27</v>
      </c>
      <c r="X106" s="6">
        <v>0</v>
      </c>
      <c r="Y106" s="6">
        <v>0</v>
      </c>
      <c r="Z106" s="6">
        <v>0</v>
      </c>
      <c r="AA106" s="6"/>
      <c r="AB106" s="7" t="s">
        <v>195</v>
      </c>
      <c r="AE106" t="s">
        <v>64</v>
      </c>
      <c r="AF106" t="s">
        <v>64</v>
      </c>
      <c r="AG106" t="s">
        <v>64</v>
      </c>
      <c r="AH106" t="s">
        <v>64</v>
      </c>
      <c r="AI106" t="s">
        <v>64</v>
      </c>
      <c r="AJ106" t="s">
        <v>64</v>
      </c>
      <c r="AK106" t="s">
        <v>64</v>
      </c>
      <c r="AL106" t="s">
        <v>64</v>
      </c>
      <c r="AM106" t="s">
        <v>64</v>
      </c>
      <c r="AN106" t="s">
        <v>64</v>
      </c>
      <c r="AO106" t="s">
        <v>64</v>
      </c>
      <c r="AP106" t="s">
        <v>64</v>
      </c>
      <c r="AQ106" t="s">
        <v>64</v>
      </c>
      <c r="AR106" t="s">
        <v>64</v>
      </c>
      <c r="AS106" t="s">
        <v>64</v>
      </c>
      <c r="AT106" t="s">
        <v>64</v>
      </c>
      <c r="AU106" t="s">
        <v>64</v>
      </c>
      <c r="AV106" t="s">
        <v>64</v>
      </c>
      <c r="AW106" t="s">
        <v>64</v>
      </c>
      <c r="AX106" t="s">
        <v>64</v>
      </c>
      <c r="AY106" t="s">
        <v>64</v>
      </c>
      <c r="AZ106" t="s">
        <v>64</v>
      </c>
      <c r="BA106" t="s">
        <v>64</v>
      </c>
      <c r="BB106" t="s">
        <v>64</v>
      </c>
      <c r="BC106" t="s">
        <v>64</v>
      </c>
      <c r="BD106">
        <v>0.03</v>
      </c>
      <c r="BE106" t="s">
        <v>64</v>
      </c>
      <c r="BF106" t="s">
        <v>64</v>
      </c>
      <c r="BG106" t="s">
        <v>64</v>
      </c>
      <c r="BH106">
        <v>0.22500000000000001</v>
      </c>
      <c r="BI106">
        <v>0.04</v>
      </c>
      <c r="BJ106" t="s">
        <v>64</v>
      </c>
      <c r="BK106" t="s">
        <v>196</v>
      </c>
    </row>
    <row r="107" spans="1:63" x14ac:dyDescent="0.25"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63" x14ac:dyDescent="0.25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63" x14ac:dyDescent="0.25"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63" x14ac:dyDescent="0.25"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63" x14ac:dyDescent="0.25"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63" x14ac:dyDescent="0.25"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3:27" x14ac:dyDescent="0.25"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3:27" x14ac:dyDescent="0.25"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3:27" x14ac:dyDescent="0.25"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3:27" x14ac:dyDescent="0.25"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3:27" x14ac:dyDescent="0.25"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3:27" x14ac:dyDescent="0.25"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3:27" x14ac:dyDescent="0.25"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3:27" x14ac:dyDescent="0.25"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3:27" x14ac:dyDescent="0.25"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3:27" x14ac:dyDescent="0.25"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3:27" x14ac:dyDescent="0.25"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3:27" x14ac:dyDescent="0.25"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3:27" x14ac:dyDescent="0.25"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3:27" x14ac:dyDescent="0.25"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3:27" x14ac:dyDescent="0.25"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3:27" x14ac:dyDescent="0.25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3:27" x14ac:dyDescent="0.25"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3:27" x14ac:dyDescent="0.25"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3:27" x14ac:dyDescent="0.25"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3:27" x14ac:dyDescent="0.25"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3:27" x14ac:dyDescent="0.25"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3:27" x14ac:dyDescent="0.25"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3:27" x14ac:dyDescent="0.25"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3:27" x14ac:dyDescent="0.25"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3:27" x14ac:dyDescent="0.25"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3:27" x14ac:dyDescent="0.25"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3:27" x14ac:dyDescent="0.25"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3:27" x14ac:dyDescent="0.25"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3:27" x14ac:dyDescent="0.25"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3:27" x14ac:dyDescent="0.25"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3:27" x14ac:dyDescent="0.25"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3:27" x14ac:dyDescent="0.25"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3:27" x14ac:dyDescent="0.25"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3:27" x14ac:dyDescent="0.25"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3:27" x14ac:dyDescent="0.25"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3:27" x14ac:dyDescent="0.25"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3:27" x14ac:dyDescent="0.25"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3:27" x14ac:dyDescent="0.25"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3:27" x14ac:dyDescent="0.25"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3:27" x14ac:dyDescent="0.25"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3:27" x14ac:dyDescent="0.25"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3:27" x14ac:dyDescent="0.25"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3:27" x14ac:dyDescent="0.25"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3:27" x14ac:dyDescent="0.25"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3:27" x14ac:dyDescent="0.25"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3:27" x14ac:dyDescent="0.25"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3:27" x14ac:dyDescent="0.25"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3:27" x14ac:dyDescent="0.25"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3:27" x14ac:dyDescent="0.25"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3:27" x14ac:dyDescent="0.25"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3:27" x14ac:dyDescent="0.25"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3:27" x14ac:dyDescent="0.25"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3:27" x14ac:dyDescent="0.25"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3:27" x14ac:dyDescent="0.25"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3:27" x14ac:dyDescent="0.25"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3:27" x14ac:dyDescent="0.25"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3:27" x14ac:dyDescent="0.25"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3:27" x14ac:dyDescent="0.25"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3:27" x14ac:dyDescent="0.25"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3:27" x14ac:dyDescent="0.25"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3:27" x14ac:dyDescent="0.25"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3:27" x14ac:dyDescent="0.25"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3:27" x14ac:dyDescent="0.25"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3:27" x14ac:dyDescent="0.25"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3:27" x14ac:dyDescent="0.25"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3:27" x14ac:dyDescent="0.25"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3:27" x14ac:dyDescent="0.25"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3:27" x14ac:dyDescent="0.25"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3:27" x14ac:dyDescent="0.25"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3:27" x14ac:dyDescent="0.25"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3:27" x14ac:dyDescent="0.25"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3:27" x14ac:dyDescent="0.25"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3:27" x14ac:dyDescent="0.25"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3:27" x14ac:dyDescent="0.25"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3:27" x14ac:dyDescent="0.25"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3:27" x14ac:dyDescent="0.25"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3:27" x14ac:dyDescent="0.25"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3:27" x14ac:dyDescent="0.25"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3:27" x14ac:dyDescent="0.25"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3:27" x14ac:dyDescent="0.25"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3:27" x14ac:dyDescent="0.25"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3:27" x14ac:dyDescent="0.25"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3:27" x14ac:dyDescent="0.25"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3:27" x14ac:dyDescent="0.25"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3:27" x14ac:dyDescent="0.25"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3:27" x14ac:dyDescent="0.25"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3:27" x14ac:dyDescent="0.25"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3:27" x14ac:dyDescent="0.25"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3:27" x14ac:dyDescent="0.25"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3:27" x14ac:dyDescent="0.25"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3:27" x14ac:dyDescent="0.25"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3:27" x14ac:dyDescent="0.25"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3:27" x14ac:dyDescent="0.25"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3:27" x14ac:dyDescent="0.25"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3:27" x14ac:dyDescent="0.25"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3:27" x14ac:dyDescent="0.25"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3:27" x14ac:dyDescent="0.25"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3:27" x14ac:dyDescent="0.25"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3:27" x14ac:dyDescent="0.25"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3:27" x14ac:dyDescent="0.25"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3:27" x14ac:dyDescent="0.25"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3:27" x14ac:dyDescent="0.25"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3:27" x14ac:dyDescent="0.25"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3:27" x14ac:dyDescent="0.25"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3:27" x14ac:dyDescent="0.25"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3:27" x14ac:dyDescent="0.25"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3:27" x14ac:dyDescent="0.25"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3:27" x14ac:dyDescent="0.25"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3:27" x14ac:dyDescent="0.25"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3:27" x14ac:dyDescent="0.25"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3:27" x14ac:dyDescent="0.25"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3:27" x14ac:dyDescent="0.25"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3:27" x14ac:dyDescent="0.25"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3:27" x14ac:dyDescent="0.25"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3:27" x14ac:dyDescent="0.25"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3:27" x14ac:dyDescent="0.25"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3:27" x14ac:dyDescent="0.25"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3:27" x14ac:dyDescent="0.25"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3:27" x14ac:dyDescent="0.25"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3:27" x14ac:dyDescent="0.25"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3:27" x14ac:dyDescent="0.25"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3:27" x14ac:dyDescent="0.25"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3:27" x14ac:dyDescent="0.25"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3:27" x14ac:dyDescent="0.25"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3:27" x14ac:dyDescent="0.25"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3:27" x14ac:dyDescent="0.25"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3:27" x14ac:dyDescent="0.25"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3:27" x14ac:dyDescent="0.25"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3:27" x14ac:dyDescent="0.25"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3:27" x14ac:dyDescent="0.25"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3:27" x14ac:dyDescent="0.25"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3:27" x14ac:dyDescent="0.25"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3:27" x14ac:dyDescent="0.25"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3:27" x14ac:dyDescent="0.25"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3:27" x14ac:dyDescent="0.25"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3:27" x14ac:dyDescent="0.25"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3:27" x14ac:dyDescent="0.25"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3:27" x14ac:dyDescent="0.25"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3:27" x14ac:dyDescent="0.25"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3:27" x14ac:dyDescent="0.25"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3:27" x14ac:dyDescent="0.25"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3:27" x14ac:dyDescent="0.25"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3:27" x14ac:dyDescent="0.25"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3:27" x14ac:dyDescent="0.25"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3:27" x14ac:dyDescent="0.25"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3:27" x14ac:dyDescent="0.25"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3:27" x14ac:dyDescent="0.25"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3:27" x14ac:dyDescent="0.25"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3:27" x14ac:dyDescent="0.25"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3:27" x14ac:dyDescent="0.25"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3:27" x14ac:dyDescent="0.25"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3:27" x14ac:dyDescent="0.25"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3:27" x14ac:dyDescent="0.25"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3:27" x14ac:dyDescent="0.25"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3:27" x14ac:dyDescent="0.25"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3:27" x14ac:dyDescent="0.25"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3:27" x14ac:dyDescent="0.25"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3:27" x14ac:dyDescent="0.25"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3:27" x14ac:dyDescent="0.25"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3:27" x14ac:dyDescent="0.25"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3:27" x14ac:dyDescent="0.25"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3:27" x14ac:dyDescent="0.25"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3:27" x14ac:dyDescent="0.25"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3:27" x14ac:dyDescent="0.25"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3:27" x14ac:dyDescent="0.25"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3:27" x14ac:dyDescent="0.25"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3:27" x14ac:dyDescent="0.25"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3:27" x14ac:dyDescent="0.25"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3:27" x14ac:dyDescent="0.25"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3:27" x14ac:dyDescent="0.25"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3:27" x14ac:dyDescent="0.25"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3:27" x14ac:dyDescent="0.25"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3:27" x14ac:dyDescent="0.25"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3:27" x14ac:dyDescent="0.25"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3:27" x14ac:dyDescent="0.25"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3:27" x14ac:dyDescent="0.25"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3:27" x14ac:dyDescent="0.25"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3:27" x14ac:dyDescent="0.25"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3:27" x14ac:dyDescent="0.25"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</sheetData>
  <conditionalFormatting sqref="D2:AA106">
    <cfRule type="colorScale" priority="7">
      <colorScale>
        <cfvo type="num" val="1000"/>
        <cfvo type="num" val="5000"/>
        <color theme="0"/>
        <color rgb="FFFF0000"/>
      </colorScale>
    </cfRule>
  </conditionalFormatting>
  <conditionalFormatting sqref="AE2:BJ106">
    <cfRule type="colorScale" priority="5">
      <colorScale>
        <cfvo type="num" val="-0.5"/>
        <cfvo type="num" val="0"/>
        <cfvo type="num" val="0.5"/>
        <color rgb="FF1A5276"/>
        <color rgb="FFFFFFFF"/>
        <color rgb="FFC0392B"/>
      </colorScale>
    </cfRule>
  </conditionalFormatting>
  <pageMargins left="0.7" right="0.7" top="0.75" bottom="0.75" header="0.3" footer="0.3"/>
  <pageSetup orientation="portrait"/>
</worksheet>
</file>

<file path=docMetadata/LabelInfo.xml><?xml version="1.0" encoding="utf-8"?>
<clbl:labelList xmlns:clbl="http://schemas.microsoft.com/office/2020/mipLabelMetadata">
  <clbl:label id="{4138c6f0-5a7d-442a-af21-96b5dcaeeea2}" enabled="0" method="" siteId="{4138c6f0-5a7d-442a-af21-96b5dcaeeea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Kight</dc:creator>
  <cp:lastModifiedBy>William Kight</cp:lastModifiedBy>
  <dcterms:created xsi:type="dcterms:W3CDTF">2026-05-05T17:26:52Z</dcterms:created>
  <dcterms:modified xsi:type="dcterms:W3CDTF">2026-06-23T15:49:18Z</dcterms:modified>
</cp:coreProperties>
</file>